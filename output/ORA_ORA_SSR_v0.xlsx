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_Patients" sheetId="1" state="visible" r:id="rId1"/>
    <sheet name="REF_Cotations" sheetId="2" state="visible" r:id="rId2"/>
    <sheet name="REF_Tarifs" sheetId="3" state="visible" r:id="rId3"/>
    <sheet name="REF_Regimes" sheetId="4" state="visible" r:id="rId4"/>
    <sheet name="REF_Pathologies" sheetId="5" state="visible" r:id="rId5"/>
    <sheet name="REF_Provenances" sheetId="6" state="visible" r:id="rId6"/>
    <sheet name="REF_Prescripteurs" sheetId="7" state="visible" r:id="rId7"/>
    <sheet name="REF_Statuts" sheetId="8" state="visible" r:id="rId8"/>
    <sheet name="REF_Mouvements" sheetId="9" state="visible" r:id="rId9"/>
    <sheet name="REF_Programmation" sheetId="10" state="visible" r:id="rId10"/>
    <sheet name="REF_Groupes" sheetId="11" state="visible" r:id="rId11"/>
    <sheet name="REF_Communes" sheetId="12" state="visible" r:id="rId12"/>
    <sheet name="REF_Motifs" sheetId="13" state="visible" r:id="rId13"/>
    <sheet name="REF_CategoriesRefus" sheetId="14" state="visible" r:id="rId14"/>
    <sheet name="REF_Calendrier" sheetId="15" state="visible" r:id="rId15"/>
    <sheet name="_Listes" sheetId="16" state="hidden" r:id="rId16"/>
    <sheet name="DA" sheetId="17" state="visible" r:id="rId17"/>
    <sheet name="Saisie_Presences" sheetId="18" state="visible" r:id="rId18"/>
    <sheet name="CONSO_Presences" sheetId="19" state="visible" r:id="rId19"/>
    <sheet name="Suivi_Factures" sheetId="20" state="visible" r:id="rId20"/>
    <sheet name="Bordereaux" sheetId="21" state="visible" r:id="rId21"/>
    <sheet name="Facture" sheetId="22" state="visible" r:id="rId22"/>
    <sheet name="Cockpit" sheetId="23" state="visible" r:id="rId23"/>
    <sheet name="CTRL_Qualite" sheetId="24" state="visible" r:id="rId24"/>
  </sheets>
  <definedNames>
    <definedName name="nrPatients">'REF_Patients'!$M$2:$M$5000</definedName>
    <definedName name="nrProgrammation">'REF_Programmation'!$A$2:$A$200</definedName>
    <definedName name="nrCotations">'REF_Cotations'!$A$2:$A$200</definedName>
    <definedName name="nrRegimes">'REF_Regimes'!$A$2:$A$200</definedName>
    <definedName name="nrStatuts">'REF_Statuts'!$A$2:$A$200</definedName>
    <definedName name="nrMouvements">'REF_Mouvements'!$A$2:$A$200</definedName>
    <definedName name="nrProvenances">'REF_Provenances'!$A$2:$A$200</definedName>
    <definedName name="nrPrescripteurs">'REF_Prescripteurs'!$A$2:$A$600</definedName>
    <definedName name="nrPathologies">'REF_Pathologies'!$A$2:$A$200</definedName>
    <definedName name="nrGroupes">'REF_Groupes'!$A$2:$A$200</definedName>
    <definedName name="nrCategoriesRefus">'REF_CategoriesRefus'!$A$2:$A$200</definedName>
    <definedName name="nrSemaine">'REF_Calendrier'!$E$2:$E$5000</definedName>
    <definedName name="nrMotifHospit">'REF_Motifs'!$A$2:$A$200</definedName>
    <definedName name="nrParcours">'_Listes'!$A$2:$A$3</definedName>
    <definedName name="nrFactures">'Suivi_Factures'!$E$2:$E$31</definedName>
    <definedName name="MontantEnLettres">=_xlfn.LAMBDA(montant,_xlfn.LET(dz,_xlfn.LAMBDA(n,_xlfn.LET(  d,INT(n/10),uni,MOD(n,10),  IF(n&lt;20,CHOOSE(n+1,"zéro","un","deux","trois","quatre","cinq","six","sept","huit","neuf","dix","onze","douze","treize","quatorze","quinze","seize","dix-sept","dix-huit","dix-neuf"),  IF(d=2,IF(uni=0,"vingt","vingt-"&amp;CHOOSE(uni+1,"zéro","un","deux","trois","quatre","cinq","six","sept","huit","neuf","dix","onze","douze","treize","quatorze","quinze","seize","dix-sept","dix-huit","dix-neuf")),  IF(d=3,IF(uni=0,"trente","trente-"&amp;CHOOSE(uni+1,"zéro","un","deux","trois","quatre","cinq","six","sept","huit","neuf","dix","onze","douze","treize","quatorze","quinze","seize","dix-sept","dix-huit","dix-neuf")),  IF(d=4,IF(uni=0,"quarante","quarante-"&amp;CHOOSE(uni+1,"zéro","un","deux","trois","quatre","cinq","six","sept","huit","neuf","dix","onze","douze","treize","quatorze","quinze","seize","dix-sept","dix-huit","dix-neuf")),  IF(d=5,IF(uni=0,"cinquante","cinquante-"&amp;CHOOSE(uni+1,"zéro","un","deux","trois","quatre","cinq","six","sept","huit","neuf","dix","onze","douze","treize","quatorze","quinze","seize","dix-sept","dix-huit","dix-neuf")),  IF(d=6,IF(uni=0,"soixante","soixante-"&amp;CHOOSE(uni+1,"zéro","un","deux","trois","quatre","cinq","six","sept","huit","neuf","dix","onze","douze","treize","quatorze","quinze","seize","dix-sept","dix-huit","dix-neuf")),  IF(d=7,IF(uni=0,"soixante-dix","soixante-"&amp;CHOOSE((uni+10)+1,"zéro","un","deux","trois","quatre","cinq","six","sept","huit","neuf","dix","onze","douze","treize","quatorze","quinze","seize","dix-sept","dix-huit","dix-neuf")),  IF(d=8,IF(uni=0,"quatre-vingts","quatre-vingt-"&amp;CHOOSE(uni+1,"zéro","un","deux","trois","quatre","cinq","six","sept","huit","neuf","dix","onze","douze","treize","quatorze","quinze","seize","dix-sept","dix-huit","dix-neuf")),  IF(uni=0,"quatre-vingt-dix","quatre-vingt-"&amp;CHOOSE((uni+10)+1,"zéro","un","deux","trois","quatre","cinq","six","sept","huit","neuf","dix","onze","douze","treize","quatorze","quinze","seize","dix-sept","dix-huit","dix-neuf"))  )))))))))),ct,_xlfn.LAMBDA(n,_xlfn.LET(  c,INT(n/100),reste,MOD(n,100),  IF(n=0,"",  IF(c=0,dz(reste),  IF(c=1,IF(reste=0,"cent","cent "&amp;dz(reste)),  CHOOSE(c+1,"zéro","un","deux","trois","quatre","cinq","six","sept","huit","neuf","dix","onze","douze","treize","quatorze","quinze","seize","dix-sept","dix-huit","dix-neuf")&amp;IF(reste=0," cents"," cent "&amp;dz(reste))))))),mil,INT(montant/1000000),milel,INT(MOD(montant,1000000)/1000),uni,MOD(montant,1000),pMil,IF(mil=0,"",IF(mil=1,"un million ",ct(mil)&amp;" millions ")),pMille,IF(milel=0,"",IF(milel=1,"mille ",ct(milel)&amp;" mille ")),pUni,IF(uni=0,IF(montant=0,"zéro",""),ct(uni)),TRIM(pMil&amp;pMille&amp;pUni)))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# ##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7F6000"/>
      <sz val="9"/>
    </font>
    <font>
      <name val="Arial"/>
      <b val="1"/>
      <sz val="12"/>
    </font>
    <font>
      <name val="Arial"/>
      <b val="1"/>
      <sz val="10"/>
    </font>
    <font>
      <name val="Arial"/>
      <b val="1"/>
      <sz val="11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0" borderId="0" pivotButton="0" quotePrefix="0" xfId="0"/>
    <xf numFmtId="0" fontId="2" fillId="0" borderId="0" pivotButton="0" quotePrefix="0" xfId="0"/>
    <xf numFmtId="49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/>
    </xf>
    <xf numFmtId="0" fontId="4" fillId="0" borderId="0" pivotButton="0" quotePrefix="0" xfId="0"/>
    <xf numFmtId="0" fontId="5" fillId="0" borderId="0" pivotButton="0" quotePrefix="0" xfId="0"/>
    <xf numFmtId="49" fontId="2" fillId="3" borderId="0" pivotButton="0" quotePrefix="0" xfId="0"/>
    <xf numFmtId="49" fontId="2" fillId="0" borderId="0" pivotButton="0" quotePrefix="0" xfId="0"/>
    <xf numFmtId="166" fontId="2" fillId="0" borderId="0" pivotButton="0" quotePrefix="0" xfId="0"/>
    <xf numFmtId="1" fontId="2" fillId="0" borderId="0" pivotButton="0" quotePrefix="0" xfId="0"/>
    <xf numFmtId="166" fontId="6" fillId="0" borderId="0" pivotButton="0" quotePrefix="0" xfId="0"/>
    <xf numFmtId="0" fontId="7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ables/table1.xml><?xml version="1.0" encoding="utf-8"?>
<table xmlns="http://schemas.openxmlformats.org/spreadsheetml/2006/main" id="1" name="tPatients" displayName="tPatients" ref="A1:O8" headerRowCount="1">
  <autoFilter ref="A1:O8"/>
  <tableColumns count="15">
    <tableColumn id="1" name="Date_saisie"/>
    <tableColumn id="2" name="No_administratif"/>
    <tableColumn id="3" name="DN"/>
    <tableColumn id="4" name="Nom"/>
    <tableColumn id="5" name="Prenom"/>
    <tableColumn id="6" name="Prenom_usuel"/>
    <tableColumn id="7" name="Date_naissance"/>
    <tableColumn id="8" name="Sexe"/>
    <tableColumn id="9" name="Commune"/>
    <tableColumn id="10" name="Code_postal"/>
    <tableColumn id="11" name="Adresse"/>
    <tableColumn id="12" name="N_tel"/>
    <tableColumn id="13" name="Recherche"/>
    <tableColumn id="14" name="PEC"/>
    <tableColumn id="15" name="Cle_Nor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Cotations" displayName="tCotations" ref="A1:B6" headerRowCount="1">
  <autoFilter ref="A1:B6"/>
  <tableColumns count="2">
    <tableColumn id="1" name="Cotation"/>
    <tableColumn id="2" name="PEC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Tarif" displayName="tTarif" ref="A1:D6" headerRowCount="1">
  <autoFilter ref="A1:D6"/>
  <tableColumns count="4">
    <tableColumn id="1" name="PEC"/>
    <tableColumn id="2" name="Code_PEC"/>
    <tableColumn id="3" name="Tarif_XPF"/>
    <tableColumn id="4" name="Prest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Regimes" displayName="tRegimes" ref="A1:D6" headerRowCount="1">
  <autoFilter ref="A1:D6"/>
  <tableColumns count="4">
    <tableColumn id="1" name="Regime"/>
    <tableColumn id="2" name="Equivalence"/>
    <tableColumn id="3" name="Facturable_CPS"/>
    <tableColumn id="4" name="Payeu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Pathologies" displayName="tPathologies" ref="A1:A3" headerRowCount="1">
  <autoFilter ref="A1:A3"/>
  <tableColumns count="1">
    <tableColumn id="1" name="Pathologi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Provenances" displayName="tProvenances" ref="A1:C10" headerRowCount="1">
  <autoFilter ref="A1:C10"/>
  <tableColumns count="3">
    <tableColumn id="1" name="Provenance"/>
    <tableColumn id="2" name="Motif_entree_UM"/>
    <tableColumn id="3" name="Code_provenanc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Prescripteurs" displayName="tPrescripteurs" ref="A1:A225" headerRowCount="1">
  <autoFilter ref="A1:A225"/>
  <tableColumns count="1">
    <tableColumn id="1" name="Prescripteu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Statuts" displayName="tStatuts" ref="A1:B12" headerRowCount="1">
  <autoFilter ref="A1:B12"/>
  <tableColumns count="2">
    <tableColumn id="1" name="Statut"/>
    <tableColumn id="2" name="Exclu_factura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Mouvements" displayName="tMouvements" ref="A1:A5" headerRowCount="1">
  <autoFilter ref="A1:A5"/>
  <tableColumns count="1">
    <tableColumn id="1" name="Mouvement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Programmation" displayName="tProgrammation" ref="A1:B9" headerRowCount="1">
  <autoFilter ref="A1:B9"/>
  <tableColumns count="2">
    <tableColumn id="1" name="Programmation"/>
    <tableColumn id="2" name="Compte_Presen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Groupes" displayName="tGroupes" ref="A1:A47" headerRowCount="1">
  <autoFilter ref="A1:A47"/>
  <tableColumns count="1">
    <tableColumn id="1" name="Group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Communes" displayName="tCommunes" ref="A1:B57" headerRowCount="1">
  <autoFilter ref="A1:B57"/>
  <tableColumns count="2">
    <tableColumn id="1" name="Commune"/>
    <tableColumn id="2" name="Code_postal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Motifs" displayName="tMotifs" ref="A1:C12" headerRowCount="1">
  <autoFilter ref="A1:C12"/>
  <tableColumns count="3">
    <tableColumn id="1" name="Motif_Hospit"/>
    <tableColumn id="2" name="Motif_refus_CPS"/>
    <tableColumn id="3" name="Motif_refus_OraOra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CategoriesRefus" displayName="tCategoriesRefus" ref="A1:A6" headerRowCount="1">
  <autoFilter ref="A1:A6"/>
  <tableColumns count="1">
    <tableColumn id="1" name="Categorie_Refu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Calendrier" displayName="tCalendrier" ref="A1:E2193" headerRowCount="1">
  <autoFilter ref="A1:E2193"/>
  <tableColumns count="5">
    <tableColumn id="1" name="Date"/>
    <tableColumn id="2" name="Annee"/>
    <tableColumn id="3" name="Mois"/>
    <tableColumn id="4" name="Semaine_Iso"/>
    <tableColumn id="5" name="No_Semain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DA" displayName="tDA" ref="A1:AE31" headerRowCount="1">
  <autoFilter ref="A1:AE31"/>
  <tableColumns count="31">
    <tableColumn id="1" name="N_DA"/>
    <tableColumn id="2" name="Patient"/>
    <tableColumn id="3" name="Parcours"/>
    <tableColumn id="4" name="Motif_Hospit"/>
    <tableColumn id="5" name="Pathologie_medicale"/>
    <tableColumn id="6" name="Regime"/>
    <tableColumn id="7" name="Provenance"/>
    <tableColumn id="8" name="Prescripteur"/>
    <tableColumn id="9" name="Date_demande"/>
    <tableColumn id="10" name="Statut"/>
    <tableColumn id="11" name="Mouvements"/>
    <tableColumn id="12" name="Nb_Je_demande"/>
    <tableColumn id="13" name="Cotation_demandee"/>
    <tableColumn id="14" name="Date_debut_demandee"/>
    <tableColumn id="15" name="Date_fin_demandee"/>
    <tableColumn id="16" name="Date_postage"/>
    <tableColumn id="17" name="Numero_sejour"/>
    <tableColumn id="18" name="PEC"/>
    <tableColumn id="19" name="Nb_Je_Accorde"/>
    <tableColumn id="20" name="Cotation_accordee"/>
    <tableColumn id="21" name="Date_debut_accorde"/>
    <tableColumn id="22" name="Date_fin_accorde"/>
    <tableColumn id="23" name="Date_accord"/>
    <tableColumn id="24" name="Groupe"/>
    <tableColumn id="25" name="Programme"/>
    <tableColumn id="26" name="Date_FIN_PEC"/>
    <tableColumn id="27" name="Cle_Patient_Norm"/>
    <tableColumn id="28" name="Statut_Exclu"/>
    <tableColumn id="29" name="Age_sejour"/>
    <tableColumn id="30" name="Nb_Je_consommes"/>
    <tableColumn id="31" name="Doublon_N_DA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Presences" displayName="tPresences" ref="A1:P31" headerRowCount="1">
  <autoFilter ref="A1:P31"/>
  <tableColumns count="16">
    <tableColumn id="1" name="Patient"/>
    <tableColumn id="2" name="Date"/>
    <tableColumn id="3" name="Programmation"/>
    <tableColumn id="4" name="Parcours"/>
    <tableColumn id="5" name="Cle_Patient_Norm"/>
    <tableColumn id="6" name="Est_Present"/>
    <tableColumn id="7" name="N_DA"/>
    <tableColumn id="8" name="Statut_Resolution"/>
    <tableColumn id="9" name="Cotation"/>
    <tableColumn id="10" name="Regime"/>
    <tableColumn id="11" name="Nb_Je_accordes"/>
    <tableColumn id="12" name="PEC"/>
    <tableColumn id="13" name="Groupe"/>
    <tableColumn id="14" name="Semaine"/>
    <tableColumn id="15" name="Mois"/>
    <tableColumn id="16" name="Doublon_Cl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CONSO_Presences" displayName="CONSO_Presences" ref="A1:O31" headerRowCount="1">
  <autoFilter ref="A1:O31"/>
  <tableColumns count="15">
    <tableColumn id="1" name="Patient"/>
    <tableColumn id="2" name="Cle_Patient_Norm"/>
    <tableColumn id="3" name="Date"/>
    <tableColumn id="4" name="Programmation"/>
    <tableColumn id="5" name="Est_Present"/>
    <tableColumn id="6" name="Parcours"/>
    <tableColumn id="7" name="N_DA"/>
    <tableColumn id="8" name="Cotation"/>
    <tableColumn id="9" name="Regime"/>
    <tableColumn id="10" name="Nb_Je_accordes"/>
    <tableColumn id="11" name="Semaine"/>
    <tableColumn id="12" name="Mois"/>
    <tableColumn id="13" name="Groupe"/>
    <tableColumn id="14" name="PEC"/>
    <tableColumn id="15" name="Statut_Resolution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SuiviFactures" displayName="tSuiviFactures" ref="A1:AA31" headerRowCount="1">
  <autoFilter ref="A1:AA31"/>
  <tableColumns count="27">
    <tableColumn id="1" name="Mois"/>
    <tableColumn id="2" name="Date_facture"/>
    <tableColumn id="3" name="N_semaine"/>
    <tableColumn id="4" name="Ref"/>
    <tableColumn id="5" name="N_DE_FACTURE"/>
    <tableColumn id="6" name="Code_recherche"/>
    <tableColumn id="7" name="Type_de_facture"/>
    <tableColumn id="8" name="Cotation"/>
    <tableColumn id="9" name="Type_PEC"/>
    <tableColumn id="10" name="DA"/>
    <tableColumn id="11" name="Regime"/>
    <tableColumn id="12" name="DN"/>
    <tableColumn id="13" name="Nom"/>
    <tableColumn id="14" name="Prenom"/>
    <tableColumn id="15" name="Date_naissance"/>
    <tableColumn id="16" name="Adresse"/>
    <tableColumn id="17" name="Commune"/>
    <tableColumn id="18" name="Telephone"/>
    <tableColumn id="19" name="Date_debut"/>
    <tableColumn id="20" name="Date_fin"/>
    <tableColumn id="21" name="Nb_journees"/>
    <tableColumn id="22" name="Tarif_unitaire"/>
    <tableColumn id="23" name="Montant"/>
    <tableColumn id="24" name="Categorie_Refus"/>
    <tableColumn id="25" name="Date_depot"/>
    <tableColumn id="26" name="Eligible"/>
    <tableColumn id="27" name="Motif_rejet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Bordereaux" displayName="tBordereaux" ref="A1:F31" headerRowCount="1">
  <autoFilter ref="A1:F31"/>
  <tableColumns count="6">
    <tableColumn id="1" name="No_Bordereau"/>
    <tableColumn id="2" name="N_FACTURE"/>
    <tableColumn id="3" name="DN"/>
    <tableColumn id="4" name="Periode"/>
    <tableColumn id="5" name="Nb_JRS"/>
    <tableColumn id="6" name="Monta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Date_saisie</t>
        </is>
      </c>
      <c r="B1" s="1" t="inlineStr">
        <is>
          <t>No_administratif</t>
        </is>
      </c>
      <c r="C1" s="1" t="inlineStr">
        <is>
          <t>DN</t>
        </is>
      </c>
      <c r="D1" s="1" t="inlineStr">
        <is>
          <t>Nom</t>
        </is>
      </c>
      <c r="E1" s="1" t="inlineStr">
        <is>
          <t>Prenom</t>
        </is>
      </c>
      <c r="F1" s="1" t="inlineStr">
        <is>
          <t>Prenom_usuel</t>
        </is>
      </c>
      <c r="G1" s="1" t="inlineStr">
        <is>
          <t>Date_naissance</t>
        </is>
      </c>
      <c r="H1" s="1" t="inlineStr">
        <is>
          <t>Sexe</t>
        </is>
      </c>
      <c r="I1" s="1" t="inlineStr">
        <is>
          <t>Commune</t>
        </is>
      </c>
      <c r="J1" s="1" t="inlineStr">
        <is>
          <t>Code_postal</t>
        </is>
      </c>
      <c r="K1" s="1" t="inlineStr">
        <is>
          <t>Adresse</t>
        </is>
      </c>
      <c r="L1" s="1" t="inlineStr">
        <is>
          <t>N_tel</t>
        </is>
      </c>
      <c r="M1" s="1" t="inlineStr">
        <is>
          <t>Recherche</t>
        </is>
      </c>
      <c r="N1" s="1" t="inlineStr">
        <is>
          <t>PEC</t>
        </is>
      </c>
      <c r="O1" s="1" t="inlineStr">
        <is>
          <t>Cle_Norm</t>
        </is>
      </c>
    </row>
    <row r="2">
      <c r="A2" s="2" t="n">
        <v>45292</v>
      </c>
      <c r="B2" s="3" t="inlineStr">
        <is>
          <t>A0001</t>
        </is>
      </c>
      <c r="C2" s="3" t="inlineStr">
        <is>
          <t>DN0001</t>
        </is>
      </c>
      <c r="D2" s="3" t="inlineStr">
        <is>
          <t>TESTPATIENT</t>
        </is>
      </c>
      <c r="E2" s="3" t="inlineStr">
        <is>
          <t>Alfred</t>
        </is>
      </c>
      <c r="F2" s="3" t="n"/>
      <c r="G2" s="2" t="n">
        <v>31879</v>
      </c>
      <c r="H2" s="3" t="inlineStr">
        <is>
          <t>M</t>
        </is>
      </c>
      <c r="I2" s="3" t="inlineStr">
        <is>
          <t>PAPEETE</t>
        </is>
      </c>
      <c r="J2" s="3" t="n">
        <v>98714</v>
      </c>
      <c r="K2" s="3" t="inlineStr">
        <is>
          <t>1 rue Fictive</t>
        </is>
      </c>
      <c r="L2" s="3" t="inlineStr">
        <is>
          <t>87 00 00 01</t>
        </is>
      </c>
      <c r="M2" s="3" t="inlineStr">
        <is>
          <t>TESTPATIENT Alfred 12-04-1987</t>
        </is>
      </c>
      <c r="N2" s="3" t="inlineStr">
        <is>
          <t>POLY</t>
        </is>
      </c>
      <c r="O2" s="3">
        <f>UPPER(TRIM(SUBSTITUTE(SUBSTITUTE(SUBSTITUTE(M2,CHAR(160)," "),"  "," "),"  "," ")))</f>
        <v/>
      </c>
    </row>
    <row r="3">
      <c r="A3" s="2" t="n">
        <v>45293</v>
      </c>
      <c r="B3" s="3" t="inlineStr">
        <is>
          <t>A0002</t>
        </is>
      </c>
      <c r="C3" s="3" t="inlineStr">
        <is>
          <t>DN0002</t>
        </is>
      </c>
      <c r="D3" s="3" t="inlineStr">
        <is>
          <t>EXEMPLE</t>
        </is>
      </c>
      <c r="E3" s="3" t="inlineStr">
        <is>
          <t>Beatrice</t>
        </is>
      </c>
      <c r="F3" s="3" t="inlineStr">
        <is>
          <t>Bea</t>
        </is>
      </c>
      <c r="G3" s="2" t="n">
        <v>23867</v>
      </c>
      <c r="H3" s="3" t="inlineStr">
        <is>
          <t>F</t>
        </is>
      </c>
      <c r="I3" s="3" t="inlineStr">
        <is>
          <t>PIRAE</t>
        </is>
      </c>
      <c r="J3" s="3" t="n">
        <v>98716</v>
      </c>
      <c r="K3" s="3" t="inlineStr">
        <is>
          <t>2 rue Fictive</t>
        </is>
      </c>
      <c r="L3" s="3" t="inlineStr">
        <is>
          <t>87 00 00 02</t>
        </is>
      </c>
      <c r="M3" s="3" t="inlineStr">
        <is>
          <t>EXEMPLE Beatrice dit Bea 05-05-1965</t>
        </is>
      </c>
      <c r="N3" s="3" t="inlineStr">
        <is>
          <t>ETP</t>
        </is>
      </c>
      <c r="O3" s="3">
        <f>UPPER(TRIM(SUBSTITUTE(SUBSTITUTE(SUBSTITUTE(M3,CHAR(160)," "),"  "," "),"  "," ")))</f>
        <v/>
      </c>
    </row>
    <row r="4">
      <c r="A4" s="2" t="n">
        <v>45294</v>
      </c>
      <c r="B4" s="3" t="inlineStr">
        <is>
          <t>A0003</t>
        </is>
      </c>
      <c r="C4" s="3" t="inlineStr">
        <is>
          <t>DN0003</t>
        </is>
      </c>
      <c r="D4" s="3" t="inlineStr">
        <is>
          <t>DEMODUPONT</t>
        </is>
      </c>
      <c r="E4" s="3" t="inlineStr">
        <is>
          <t>Charles</t>
        </is>
      </c>
      <c r="F4" s="3" t="n"/>
      <c r="G4" s="2" t="n">
        <v>32804</v>
      </c>
      <c r="H4" s="3" t="inlineStr">
        <is>
          <t>M</t>
        </is>
      </c>
      <c r="I4" s="3" t="inlineStr">
        <is>
          <t>FAAA</t>
        </is>
      </c>
      <c r="J4" s="3" t="n">
        <v>98704</v>
      </c>
      <c r="K4" s="3" t="inlineStr">
        <is>
          <t>3 rue Fictive</t>
        </is>
      </c>
      <c r="L4" s="3" t="inlineStr">
        <is>
          <t>87 00 00 03</t>
        </is>
      </c>
      <c r="M4" s="3" t="inlineStr">
        <is>
          <t>DEMODUPONT Charles 23-10-1989</t>
        </is>
      </c>
      <c r="N4" s="3" t="inlineStr">
        <is>
          <t>POLY</t>
        </is>
      </c>
      <c r="O4" s="3">
        <f>UPPER(TRIM(SUBSTITUTE(SUBSTITUTE(SUBSTITUTE(M4,CHAR(160)," "),"  "," "),"  "," ")))</f>
        <v/>
      </c>
    </row>
    <row r="5">
      <c r="A5" s="2" t="n">
        <v>45295</v>
      </c>
      <c r="B5" s="3" t="inlineStr">
        <is>
          <t>A0004</t>
        </is>
      </c>
      <c r="C5" s="3" t="inlineStr">
        <is>
          <t>DN0004</t>
        </is>
      </c>
      <c r="D5" s="3" t="inlineStr">
        <is>
          <t>FICTIVE</t>
        </is>
      </c>
      <c r="E5" s="3" t="inlineStr">
        <is>
          <t>Diane</t>
        </is>
      </c>
      <c r="F5" s="3" t="n"/>
      <c r="G5" s="2" t="n">
        <v>26426</v>
      </c>
      <c r="H5" s="3" t="inlineStr">
        <is>
          <t>F</t>
        </is>
      </c>
      <c r="I5" s="3" t="inlineStr">
        <is>
          <t>PUNAAUIA</t>
        </is>
      </c>
      <c r="J5" s="3" t="n">
        <v>98717</v>
      </c>
      <c r="K5" s="3" t="inlineStr">
        <is>
          <t>4 rue Fictive</t>
        </is>
      </c>
      <c r="L5" s="3" t="inlineStr">
        <is>
          <t>87 00 00 04</t>
        </is>
      </c>
      <c r="M5" s="3" t="inlineStr">
        <is>
          <t>FICTIVE Diane 07-05-1972</t>
        </is>
      </c>
      <c r="N5" s="3" t="inlineStr">
        <is>
          <t>ETP</t>
        </is>
      </c>
      <c r="O5" s="3">
        <f>UPPER(TRIM(SUBSTITUTE(SUBSTITUTE(SUBSTITUTE(M5,CHAR(160)," "),"  "," "),"  "," ")))</f>
        <v/>
      </c>
    </row>
    <row r="6">
      <c r="A6" s="2" t="n">
        <v>45296</v>
      </c>
      <c r="B6" s="3" t="inlineStr">
        <is>
          <t>A0005</t>
        </is>
      </c>
      <c r="C6" s="3" t="inlineStr">
        <is>
          <t>DN0005</t>
        </is>
      </c>
      <c r="D6" s="3" t="inlineStr">
        <is>
          <t>ESSAINOM</t>
        </is>
      </c>
      <c r="E6" s="3" t="inlineStr">
        <is>
          <t>Edouard</t>
        </is>
      </c>
      <c r="F6" s="3" t="inlineStr">
        <is>
          <t>Ed</t>
        </is>
      </c>
      <c r="G6" s="2" t="n">
        <v>21443</v>
      </c>
      <c r="H6" s="3" t="inlineStr">
        <is>
          <t>M</t>
        </is>
      </c>
      <c r="I6" s="3" t="inlineStr">
        <is>
          <t>MAHINA</t>
        </is>
      </c>
      <c r="J6" s="3" t="n">
        <v>98709</v>
      </c>
      <c r="K6" s="3" t="inlineStr">
        <is>
          <t>5 rue Fictive</t>
        </is>
      </c>
      <c r="L6" s="3" t="inlineStr">
        <is>
          <t>87 00 00 05</t>
        </is>
      </c>
      <c r="M6" s="3" t="inlineStr">
        <is>
          <t>ESSAINOM Edouard dit Ed 15-09-1958</t>
        </is>
      </c>
      <c r="N6" s="3" t="inlineStr">
        <is>
          <t>POLY</t>
        </is>
      </c>
      <c r="O6" s="3">
        <f>UPPER(TRIM(SUBSTITUTE(SUBSTITUTE(SUBSTITUTE(M6,CHAR(160)," "),"  "," "),"  "," ")))</f>
        <v/>
      </c>
    </row>
    <row r="7">
      <c r="A7" s="2" t="n">
        <v>45297</v>
      </c>
      <c r="B7" s="3" t="inlineStr">
        <is>
          <t>A0006</t>
        </is>
      </c>
      <c r="C7" s="3" t="inlineStr">
        <is>
          <t>DN0006</t>
        </is>
      </c>
      <c r="D7" s="3" t="inlineStr">
        <is>
          <t>MODELE</t>
        </is>
      </c>
      <c r="E7" s="3" t="inlineStr">
        <is>
          <t>Francoise</t>
        </is>
      </c>
      <c r="F7" s="3" t="n"/>
      <c r="G7" s="2" t="n">
        <v>33207</v>
      </c>
      <c r="H7" s="3" t="inlineStr">
        <is>
          <t>F</t>
        </is>
      </c>
      <c r="I7" s="3" t="inlineStr">
        <is>
          <t>PAEA</t>
        </is>
      </c>
      <c r="J7" s="3" t="n">
        <v>98711</v>
      </c>
      <c r="K7" s="3" t="inlineStr">
        <is>
          <t>6 rue Fictive</t>
        </is>
      </c>
      <c r="L7" s="3" t="inlineStr">
        <is>
          <t>87 00 00 06</t>
        </is>
      </c>
      <c r="M7" s="3" t="inlineStr">
        <is>
          <t>MODELE Francoise 30-11-1990</t>
        </is>
      </c>
      <c r="N7" s="3" t="inlineStr">
        <is>
          <t>ETP</t>
        </is>
      </c>
      <c r="O7" s="3">
        <f>UPPER(TRIM(SUBSTITUTE(SUBSTITUTE(SUBSTITUTE(M7,CHAR(160)," "),"  "," "),"  "," ")))</f>
        <v/>
      </c>
    </row>
    <row r="8">
      <c r="A8" s="2" t="n">
        <v>45298</v>
      </c>
      <c r="B8" s="3" t="inlineStr">
        <is>
          <t>A0007</t>
        </is>
      </c>
      <c r="C8" s="3" t="inlineStr">
        <is>
          <t>DN0007</t>
        </is>
      </c>
      <c r="D8" s="3" t="inlineStr">
        <is>
          <t>ANONYME</t>
        </is>
      </c>
      <c r="E8" s="3" t="inlineStr">
        <is>
          <t>Gerard</t>
        </is>
      </c>
      <c r="F8" s="3" t="n"/>
      <c r="G8" s="2" t="n">
        <v>29635</v>
      </c>
      <c r="H8" s="3" t="inlineStr">
        <is>
          <t>M</t>
        </is>
      </c>
      <c r="I8" s="3" t="inlineStr">
        <is>
          <t>ARUE</t>
        </is>
      </c>
      <c r="J8" s="3" t="n">
        <v>98701</v>
      </c>
      <c r="K8" s="3" t="inlineStr">
        <is>
          <t>7 rue Fictive</t>
        </is>
      </c>
      <c r="L8" s="3" t="inlineStr">
        <is>
          <t>87 00 00 07</t>
        </is>
      </c>
      <c r="M8" s="3" t="inlineStr">
        <is>
          <t>ANONYME Gerard 18-02-1981</t>
        </is>
      </c>
      <c r="N8" s="3" t="inlineStr">
        <is>
          <t>POLY</t>
        </is>
      </c>
      <c r="O8" s="3">
        <f>UPPER(TRIM(SUBSTITUTE(SUBSTITUTE(SUBSTITUTE(M8,CHAR(160)," "),"  "," "),"  "," ")))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Cotation</t>
        </is>
      </c>
      <c r="B1" s="1" t="inlineStr">
        <is>
          <t>PEC</t>
        </is>
      </c>
    </row>
    <row r="2">
      <c r="A2" s="3" t="inlineStr">
        <is>
          <t>HJSN</t>
        </is>
      </c>
      <c r="B2" s="3" t="inlineStr">
        <is>
          <t>Neuro</t>
        </is>
      </c>
    </row>
    <row r="3">
      <c r="A3" s="3" t="inlineStr">
        <is>
          <t>HJSA</t>
        </is>
      </c>
      <c r="B3" s="3" t="inlineStr">
        <is>
          <t>Amputé</t>
        </is>
      </c>
    </row>
    <row r="4">
      <c r="A4" s="3" t="inlineStr">
        <is>
          <t>HJSR</t>
        </is>
      </c>
      <c r="B4" s="3" t="inlineStr">
        <is>
          <t>Respi</t>
        </is>
      </c>
    </row>
    <row r="5">
      <c r="A5" s="3" t="inlineStr">
        <is>
          <t>HJSM</t>
        </is>
      </c>
      <c r="B5" s="3" t="inlineStr">
        <is>
          <t>Métabo</t>
        </is>
      </c>
    </row>
    <row r="6">
      <c r="A6" s="3" t="inlineStr">
        <is>
          <t>HJST</t>
        </is>
      </c>
      <c r="B6" s="3" t="inlineStr">
        <is>
          <t>Ortho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PEC</t>
        </is>
      </c>
      <c r="B1" s="1" t="inlineStr">
        <is>
          <t>Code_PEC</t>
        </is>
      </c>
      <c r="C1" s="1" t="inlineStr">
        <is>
          <t>Tarif_XPF</t>
        </is>
      </c>
      <c r="D1" s="1" t="inlineStr">
        <is>
          <t>Prestation</t>
        </is>
      </c>
    </row>
    <row r="2">
      <c r="A2" s="3" t="inlineStr">
        <is>
          <t>Neuro</t>
        </is>
      </c>
      <c r="B2" s="3" t="inlineStr">
        <is>
          <t>HJSN</t>
        </is>
      </c>
      <c r="C2" s="3" t="n">
        <v>32000</v>
      </c>
      <c r="D2" s="3" t="inlineStr">
        <is>
          <t>HJSN - Forfait Affection Neurologique</t>
        </is>
      </c>
    </row>
    <row r="3">
      <c r="A3" s="3" t="inlineStr">
        <is>
          <t>Amputé</t>
        </is>
      </c>
      <c r="B3" s="3" t="inlineStr">
        <is>
          <t>HJSA</t>
        </is>
      </c>
      <c r="C3" s="3" t="n">
        <v>32000</v>
      </c>
      <c r="D3" s="3" t="inlineStr">
        <is>
          <t>HJSA - Forfait Affection Neuro Vasculaire Amputation</t>
        </is>
      </c>
    </row>
    <row r="4">
      <c r="A4" s="3" t="inlineStr">
        <is>
          <t>Respi</t>
        </is>
      </c>
      <c r="B4" s="3" t="inlineStr">
        <is>
          <t>HJSR</t>
        </is>
      </c>
      <c r="C4" s="3" t="n">
        <v>31000</v>
      </c>
      <c r="D4" s="3" t="inlineStr">
        <is>
          <t>HJSR - Forfait Affection Respiratoire</t>
        </is>
      </c>
    </row>
    <row r="5">
      <c r="A5" s="3" t="inlineStr">
        <is>
          <t>Métabo</t>
        </is>
      </c>
      <c r="B5" s="3" t="inlineStr">
        <is>
          <t>HJSM</t>
        </is>
      </c>
      <c r="C5" s="3" t="n">
        <v>30000</v>
      </c>
      <c r="D5" s="3" t="inlineStr">
        <is>
          <t>HJSM - Forfait Affection Métabolique</t>
        </is>
      </c>
    </row>
    <row r="6">
      <c r="A6" s="3" t="inlineStr">
        <is>
          <t>Ortho</t>
        </is>
      </c>
      <c r="B6" s="3" t="inlineStr">
        <is>
          <t>HJST</t>
        </is>
      </c>
      <c r="C6" s="3" t="n">
        <v>27000</v>
      </c>
      <c r="D6" s="3" t="inlineStr">
        <is>
          <t>HJST - Forfait Affection Orthopédique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Regime</t>
        </is>
      </c>
      <c r="B1" s="1" t="inlineStr">
        <is>
          <t>Equivalence</t>
        </is>
      </c>
      <c r="C1" s="1" t="inlineStr">
        <is>
          <t>Facturable_CPS</t>
        </is>
      </c>
      <c r="D1" s="1" t="inlineStr">
        <is>
          <t>Payeur</t>
        </is>
      </c>
    </row>
    <row r="2">
      <c r="A2" s="3" t="inlineStr">
        <is>
          <t>RGS</t>
        </is>
      </c>
      <c r="B2" s="3" t="inlineStr">
        <is>
          <t>CPS</t>
        </is>
      </c>
      <c r="C2" s="3" t="b">
        <v>1</v>
      </c>
      <c r="D2" s="3" t="inlineStr">
        <is>
          <t>CPS</t>
        </is>
      </c>
    </row>
    <row r="3">
      <c r="A3" s="3" t="inlineStr">
        <is>
          <t>RNS</t>
        </is>
      </c>
      <c r="B3" s="3" t="inlineStr">
        <is>
          <t>CPS</t>
        </is>
      </c>
      <c r="C3" s="3" t="b">
        <v>1</v>
      </c>
      <c r="D3" s="3" t="inlineStr">
        <is>
          <t>CPS</t>
        </is>
      </c>
    </row>
    <row r="4">
      <c r="A4" s="3" t="inlineStr">
        <is>
          <t>RST</t>
        </is>
      </c>
      <c r="B4" s="3" t="inlineStr">
        <is>
          <t>CPS</t>
        </is>
      </c>
      <c r="C4" s="3" t="b">
        <v>1</v>
      </c>
      <c r="D4" s="3" t="inlineStr">
        <is>
          <t>CPS</t>
        </is>
      </c>
    </row>
    <row r="5">
      <c r="A5" s="3" t="inlineStr">
        <is>
          <t>SS</t>
        </is>
      </c>
      <c r="B5" s="3" t="inlineStr">
        <is>
          <t>SS</t>
        </is>
      </c>
      <c r="C5" s="3" t="b">
        <v>0</v>
      </c>
      <c r="D5" s="3" t="inlineStr">
        <is>
          <t>SS</t>
        </is>
      </c>
    </row>
    <row r="6">
      <c r="A6" s="3" t="inlineStr">
        <is>
          <t>Auto-financement</t>
        </is>
      </c>
      <c r="B6" s="3" t="inlineStr">
        <is>
          <t>Autre</t>
        </is>
      </c>
      <c r="C6" s="3" t="b">
        <v>0</v>
      </c>
      <c r="D6" s="3" t="inlineStr">
        <is>
          <t>Autres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Pathologie</t>
        </is>
      </c>
    </row>
    <row r="2">
      <c r="A2" s="3" t="inlineStr">
        <is>
          <t>Obésité NC</t>
        </is>
      </c>
    </row>
    <row r="3">
      <c r="A3" s="3" t="inlineStr">
        <is>
          <t>Obésité CHIR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</cols>
  <sheetData>
    <row r="1">
      <c r="A1" s="1" t="inlineStr">
        <is>
          <t>Provenance</t>
        </is>
      </c>
      <c r="B1" s="1" t="inlineStr">
        <is>
          <t>Motif_entree_UM</t>
        </is>
      </c>
      <c r="C1" s="1" t="inlineStr">
        <is>
          <t>Code_provenance</t>
        </is>
      </c>
    </row>
    <row r="2">
      <c r="A2" s="3" t="inlineStr">
        <is>
          <t>CHPF</t>
        </is>
      </c>
      <c r="B2" s="3" t="n">
        <v>7</v>
      </c>
      <c r="C2" s="3" t="n">
        <v>1</v>
      </c>
    </row>
    <row r="3">
      <c r="A3" s="3" t="inlineStr">
        <is>
          <t>DS</t>
        </is>
      </c>
      <c r="B3" s="3" t="n">
        <v>7</v>
      </c>
      <c r="C3" s="3" t="n">
        <v>1</v>
      </c>
    </row>
    <row r="4">
      <c r="A4" s="3" t="inlineStr">
        <is>
          <t>Cardella</t>
        </is>
      </c>
      <c r="B4" s="3" t="n">
        <v>7</v>
      </c>
      <c r="C4" s="3" t="n">
        <v>1</v>
      </c>
    </row>
    <row r="5">
      <c r="A5" s="3" t="inlineStr">
        <is>
          <t>Paofai</t>
        </is>
      </c>
      <c r="B5" s="3" t="n">
        <v>7</v>
      </c>
      <c r="C5" s="3" t="n">
        <v>1</v>
      </c>
    </row>
    <row r="6">
      <c r="A6" s="3" t="inlineStr">
        <is>
          <t>Te Tiare</t>
        </is>
      </c>
      <c r="B6" s="3" t="n">
        <v>7</v>
      </c>
      <c r="C6" s="3" t="n">
        <v>2</v>
      </c>
    </row>
    <row r="7">
      <c r="A7" s="3" t="inlineStr">
        <is>
          <t>Dom</t>
        </is>
      </c>
      <c r="B7" s="3" t="n">
        <v>8</v>
      </c>
      <c r="C7" s="3" t="n">
        <v>1</v>
      </c>
    </row>
    <row r="8">
      <c r="A8" s="3" t="inlineStr">
        <is>
          <t>Cs CHPF</t>
        </is>
      </c>
      <c r="B8" s="3" t="n">
        <v>8</v>
      </c>
      <c r="C8" s="3" t="n">
        <v>1</v>
      </c>
    </row>
    <row r="9">
      <c r="A9" s="3" t="inlineStr">
        <is>
          <t>Médecin spécialiste libéral</t>
        </is>
      </c>
      <c r="B9" s="3" t="n">
        <v>8</v>
      </c>
      <c r="C9" s="3" t="n">
        <v>2</v>
      </c>
    </row>
    <row r="10">
      <c r="A10" s="3" t="inlineStr">
        <is>
          <t>APAIR APURAD</t>
        </is>
      </c>
      <c r="B10" s="3" t="n">
        <v>8</v>
      </c>
      <c r="C10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Prescripteur</t>
        </is>
      </c>
    </row>
    <row r="2">
      <c r="A2" s="3" t="inlineStr">
        <is>
          <t>AKOURY</t>
        </is>
      </c>
    </row>
    <row r="3">
      <c r="A3" s="3" t="inlineStr">
        <is>
          <t>ALCARAZ</t>
        </is>
      </c>
    </row>
    <row r="4">
      <c r="A4" s="3" t="inlineStr">
        <is>
          <t>ANSELMETTI</t>
        </is>
      </c>
    </row>
    <row r="5">
      <c r="A5" s="3" t="inlineStr">
        <is>
          <t>ARNOULT</t>
        </is>
      </c>
    </row>
    <row r="6">
      <c r="A6" s="3" t="inlineStr">
        <is>
          <t>BALLOY-DESMARCHELLIER</t>
        </is>
      </c>
    </row>
    <row r="7">
      <c r="A7" s="3" t="inlineStr">
        <is>
          <t>BARRIER</t>
        </is>
      </c>
    </row>
    <row r="8">
      <c r="A8" s="3" t="inlineStr">
        <is>
          <t>BASSE Grégoire</t>
        </is>
      </c>
    </row>
    <row r="9">
      <c r="A9" s="3" t="inlineStr">
        <is>
          <t>BAUDY Charlotte</t>
        </is>
      </c>
    </row>
    <row r="10">
      <c r="A10" s="3" t="inlineStr">
        <is>
          <t>BELJOUANI</t>
        </is>
      </c>
    </row>
    <row r="11">
      <c r="A11" s="3" t="inlineStr">
        <is>
          <t>BENMILOUD Narimane</t>
        </is>
      </c>
    </row>
    <row r="12">
      <c r="A12" s="3" t="inlineStr">
        <is>
          <t>BLOCH Julie</t>
        </is>
      </c>
    </row>
    <row r="13">
      <c r="A13" s="3" t="inlineStr">
        <is>
          <t>BONDOUX</t>
        </is>
      </c>
    </row>
    <row r="14">
      <c r="A14" s="3" t="inlineStr">
        <is>
          <t>BORIE</t>
        </is>
      </c>
    </row>
    <row r="15">
      <c r="A15" s="3" t="inlineStr">
        <is>
          <t>BOUCHET</t>
        </is>
      </c>
    </row>
    <row r="16">
      <c r="A16" s="3" t="inlineStr">
        <is>
          <t>BOUY</t>
        </is>
      </c>
    </row>
    <row r="17">
      <c r="A17" s="3" t="inlineStr">
        <is>
          <t>BRANDO TERIIPAIA - Tuki</t>
        </is>
      </c>
    </row>
    <row r="18">
      <c r="A18" s="3" t="inlineStr">
        <is>
          <t>BRODIN</t>
        </is>
      </c>
    </row>
    <row r="19">
      <c r="A19" s="3" t="inlineStr">
        <is>
          <t>BRUGIROUX</t>
        </is>
      </c>
    </row>
    <row r="20">
      <c r="A20" s="3" t="inlineStr">
        <is>
          <t>BUON Raphaëlle</t>
        </is>
      </c>
    </row>
    <row r="21">
      <c r="A21" s="3" t="inlineStr">
        <is>
          <t>CANOVILLE Daniel</t>
        </is>
      </c>
    </row>
    <row r="22">
      <c r="A22" s="3" t="inlineStr">
        <is>
          <t>CAUSSE  Yann</t>
        </is>
      </c>
    </row>
    <row r="23">
      <c r="A23" s="3" t="inlineStr">
        <is>
          <t>CHAMPENOIS</t>
        </is>
      </c>
    </row>
    <row r="24">
      <c r="A24" s="3" t="inlineStr">
        <is>
          <t>CHANSIN</t>
        </is>
      </c>
    </row>
    <row r="25">
      <c r="A25" s="3" t="inlineStr">
        <is>
          <t>CHASTANG Ludovic</t>
        </is>
      </c>
    </row>
    <row r="26">
      <c r="A26" s="3" t="inlineStr">
        <is>
          <t>CHEVIET</t>
        </is>
      </c>
    </row>
    <row r="27">
      <c r="A27" s="3" t="inlineStr">
        <is>
          <t>CHEYROU-LAGREZE</t>
        </is>
      </c>
    </row>
    <row r="28">
      <c r="A28" s="3" t="inlineStr">
        <is>
          <t>COLAVOLPE - M4596</t>
        </is>
      </c>
    </row>
    <row r="29">
      <c r="A29" s="3" t="inlineStr">
        <is>
          <t>COLLEUIL</t>
        </is>
      </c>
    </row>
    <row r="30">
      <c r="A30" s="3" t="inlineStr">
        <is>
          <t>COLLIN-JUNOT Nathalie</t>
        </is>
      </c>
    </row>
    <row r="31">
      <c r="A31" s="3" t="inlineStr">
        <is>
          <t>COURTOIS Charlotte</t>
        </is>
      </c>
    </row>
    <row r="32">
      <c r="A32" s="3" t="inlineStr">
        <is>
          <t>CUADROS CAPARROS</t>
        </is>
      </c>
    </row>
    <row r="33">
      <c r="A33" s="3" t="inlineStr">
        <is>
          <t>DAHBAR</t>
        </is>
      </c>
    </row>
    <row r="34">
      <c r="A34" s="3" t="inlineStr">
        <is>
          <t>DAMBRY</t>
        </is>
      </c>
    </row>
    <row r="35">
      <c r="A35" s="3" t="inlineStr">
        <is>
          <t>DEBRUYNE</t>
        </is>
      </c>
    </row>
    <row r="36">
      <c r="A36" s="3" t="inlineStr">
        <is>
          <t>DEBRUYNE-BRODELLE</t>
        </is>
      </c>
    </row>
    <row r="37">
      <c r="A37" s="3" t="inlineStr">
        <is>
          <t>DEGLAIRE Valentine</t>
        </is>
      </c>
    </row>
    <row r="38">
      <c r="A38" s="3" t="inlineStr">
        <is>
          <t>DELATTRE</t>
        </is>
      </c>
    </row>
    <row r="39">
      <c r="A39" s="3" t="inlineStr">
        <is>
          <t>DELAVAL Ronan</t>
        </is>
      </c>
    </row>
    <row r="40">
      <c r="A40" s="3" t="inlineStr">
        <is>
          <t>DI TURI - M4790</t>
        </is>
      </c>
    </row>
    <row r="41">
      <c r="A41" s="3" t="inlineStr">
        <is>
          <t>DJENADI Karime</t>
        </is>
      </c>
    </row>
    <row r="42">
      <c r="A42" s="3" t="inlineStr">
        <is>
          <t>DOMENGER</t>
        </is>
      </c>
    </row>
    <row r="43">
      <c r="A43" s="3" t="inlineStr">
        <is>
          <t>DONNOT</t>
        </is>
      </c>
    </row>
    <row r="44">
      <c r="A44" s="3" t="inlineStr">
        <is>
          <t>DUBOIS Jean-Cyril</t>
        </is>
      </c>
    </row>
    <row r="45">
      <c r="A45" s="3" t="inlineStr">
        <is>
          <t>DUMETZ</t>
        </is>
      </c>
    </row>
    <row r="46">
      <c r="A46" s="3" t="inlineStr">
        <is>
          <t>EMUNGANIA Olivier</t>
        </is>
      </c>
    </row>
    <row r="47">
      <c r="A47" s="3" t="inlineStr">
        <is>
          <t>ESPINASSOUZE</t>
        </is>
      </c>
    </row>
    <row r="48">
      <c r="A48" s="3" t="inlineStr">
        <is>
          <t>ETTAJANI</t>
        </is>
      </c>
    </row>
    <row r="49">
      <c r="A49" s="3" t="inlineStr">
        <is>
          <t>EVENOT</t>
        </is>
      </c>
    </row>
    <row r="50">
      <c r="A50" s="3" t="inlineStr">
        <is>
          <t>FACON</t>
        </is>
      </c>
    </row>
    <row r="51">
      <c r="A51" s="3" t="inlineStr">
        <is>
          <t>FRANCOIS</t>
        </is>
      </c>
    </row>
    <row r="52">
      <c r="A52" s="3" t="inlineStr">
        <is>
          <t>GALTIER</t>
        </is>
      </c>
    </row>
    <row r="53">
      <c r="A53" s="3" t="inlineStr">
        <is>
          <t>GARCIA</t>
        </is>
      </c>
    </row>
    <row r="54">
      <c r="A54" s="3" t="inlineStr">
        <is>
          <t>GARLING Jessica</t>
        </is>
      </c>
    </row>
    <row r="55">
      <c r="A55" s="3" t="inlineStr">
        <is>
          <t>GASTINEL</t>
        </is>
      </c>
    </row>
    <row r="56">
      <c r="A56" s="3" t="inlineStr">
        <is>
          <t>GAUTHIER</t>
        </is>
      </c>
    </row>
    <row r="57">
      <c r="A57" s="3" t="inlineStr">
        <is>
          <t>GUEGUEN Cédric</t>
        </is>
      </c>
    </row>
    <row r="58">
      <c r="A58" s="3" t="inlineStr">
        <is>
          <t>GUERMA</t>
        </is>
      </c>
    </row>
    <row r="59">
      <c r="A59" s="3" t="inlineStr">
        <is>
          <t>GUGLIELMETTI</t>
        </is>
      </c>
    </row>
    <row r="60">
      <c r="A60" s="3" t="inlineStr">
        <is>
          <t>HALL</t>
        </is>
      </c>
    </row>
    <row r="61">
      <c r="A61" s="3" t="inlineStr">
        <is>
          <t>LEROUX Stéphane</t>
        </is>
      </c>
    </row>
    <row r="62">
      <c r="A62" s="3" t="inlineStr">
        <is>
          <t>JUNGO</t>
        </is>
      </c>
    </row>
    <row r="63">
      <c r="A63" s="3" t="inlineStr">
        <is>
          <t>KARIM</t>
        </is>
      </c>
    </row>
    <row r="64">
      <c r="A64" s="3" t="inlineStr">
        <is>
          <t>KOCER</t>
        </is>
      </c>
    </row>
    <row r="65">
      <c r="A65" s="3" t="inlineStr">
        <is>
          <t>KRATTLI</t>
        </is>
      </c>
    </row>
    <row r="66">
      <c r="A66" s="3" t="inlineStr">
        <is>
          <t>KRIDER</t>
        </is>
      </c>
    </row>
    <row r="67">
      <c r="A67" s="3" t="inlineStr">
        <is>
          <t>LABOURDERE</t>
        </is>
      </c>
    </row>
    <row r="68">
      <c r="A68" s="3" t="inlineStr">
        <is>
          <t>LAROUSS</t>
        </is>
      </c>
    </row>
    <row r="69">
      <c r="A69" s="3" t="inlineStr">
        <is>
          <t>LARRE</t>
        </is>
      </c>
    </row>
    <row r="70">
      <c r="A70" s="3" t="inlineStr">
        <is>
          <t>LE GRAND</t>
        </is>
      </c>
    </row>
    <row r="71">
      <c r="A71" s="3" t="inlineStr">
        <is>
          <t>LECLERCQ</t>
        </is>
      </c>
    </row>
    <row r="72">
      <c r="A72" s="3" t="inlineStr">
        <is>
          <t>LEGRAND</t>
        </is>
      </c>
    </row>
    <row r="73">
      <c r="A73" s="3" t="inlineStr">
        <is>
          <t>LEI Vaitiare</t>
        </is>
      </c>
    </row>
    <row r="74">
      <c r="A74" s="3" t="inlineStr">
        <is>
          <t>LEOU</t>
        </is>
      </c>
    </row>
    <row r="75">
      <c r="A75" s="3" t="inlineStr">
        <is>
          <t>LETALLEC MOERA</t>
        </is>
      </c>
    </row>
    <row r="76">
      <c r="A76" s="3" t="inlineStr">
        <is>
          <t>LOMBROSO</t>
        </is>
      </c>
    </row>
    <row r="77">
      <c r="A77" s="3" t="inlineStr">
        <is>
          <t>MADON</t>
        </is>
      </c>
    </row>
    <row r="78">
      <c r="A78" s="3" t="inlineStr">
        <is>
          <t>MALAPER</t>
        </is>
      </c>
    </row>
    <row r="79">
      <c r="A79" s="3" t="inlineStr">
        <is>
          <t>MARCEAU</t>
        </is>
      </c>
    </row>
    <row r="80">
      <c r="A80" s="3" t="inlineStr">
        <is>
          <t>MATHONIER MATHILDE</t>
        </is>
      </c>
    </row>
    <row r="81">
      <c r="A81" s="3" t="inlineStr">
        <is>
          <t>MELIX</t>
        </is>
      </c>
    </row>
    <row r="82">
      <c r="A82" s="3" t="inlineStr">
        <is>
          <t>Michaux - M5533</t>
        </is>
      </c>
    </row>
    <row r="83">
      <c r="A83" s="3" t="inlineStr">
        <is>
          <t>MOUSTER</t>
        </is>
      </c>
    </row>
    <row r="84">
      <c r="A84" s="3" t="inlineStr">
        <is>
          <t>MULLER Guy-Paul</t>
        </is>
      </c>
    </row>
    <row r="85">
      <c r="A85" s="3" t="inlineStr">
        <is>
          <t>NAUTA Anapa</t>
        </is>
      </c>
    </row>
    <row r="86">
      <c r="A86" s="3" t="inlineStr">
        <is>
          <t>NGUYEN</t>
        </is>
      </c>
    </row>
    <row r="87">
      <c r="A87" s="3" t="inlineStr">
        <is>
          <t>NGUYEN HOAN VU</t>
        </is>
      </c>
    </row>
    <row r="88">
      <c r="A88" s="3" t="inlineStr">
        <is>
          <t>NOUANESENGSY</t>
        </is>
      </c>
    </row>
    <row r="89">
      <c r="A89" s="3" t="inlineStr">
        <is>
          <t>OBADIA</t>
        </is>
      </c>
    </row>
    <row r="90">
      <c r="A90" s="3" t="inlineStr">
        <is>
          <t>O'CONNELL Gabriel</t>
        </is>
      </c>
    </row>
    <row r="91">
      <c r="A91" s="3" t="inlineStr">
        <is>
          <t>OILLEAU</t>
        </is>
      </c>
    </row>
    <row r="92">
      <c r="A92" s="3" t="inlineStr">
        <is>
          <t>OJAREF</t>
        </is>
      </c>
    </row>
    <row r="93">
      <c r="A93" s="3" t="inlineStr">
        <is>
          <t>ORLOFF ELISABETH</t>
        </is>
      </c>
    </row>
    <row r="94">
      <c r="A94" s="3" t="inlineStr">
        <is>
          <t>PARRAT</t>
        </is>
      </c>
    </row>
    <row r="95">
      <c r="A95" s="3" t="inlineStr">
        <is>
          <t>PENANHOAT Marania</t>
        </is>
      </c>
    </row>
    <row r="96">
      <c r="A96" s="3" t="inlineStr">
        <is>
          <t>PERIER</t>
        </is>
      </c>
    </row>
    <row r="97">
      <c r="A97" s="3" t="inlineStr">
        <is>
          <t>PETIT</t>
        </is>
      </c>
    </row>
    <row r="98">
      <c r="A98" s="3" t="inlineStr">
        <is>
          <t>POIGNANT Anne</t>
        </is>
      </c>
    </row>
    <row r="99">
      <c r="A99" s="3" t="inlineStr">
        <is>
          <t>POSTEL Mathilde</t>
        </is>
      </c>
    </row>
    <row r="100">
      <c r="A100" s="3" t="inlineStr">
        <is>
          <t>POUL</t>
        </is>
      </c>
    </row>
    <row r="101">
      <c r="A101" s="3" t="inlineStr">
        <is>
          <t>PREVOST</t>
        </is>
      </c>
    </row>
    <row r="102">
      <c r="A102" s="3" t="inlineStr">
        <is>
          <t>RACHEDI FREDERIC</t>
        </is>
      </c>
    </row>
    <row r="103">
      <c r="A103" s="3" t="inlineStr">
        <is>
          <t>SALMON</t>
        </is>
      </c>
    </row>
    <row r="104">
      <c r="A104" s="3" t="inlineStr">
        <is>
          <t>RAULT</t>
        </is>
      </c>
    </row>
    <row r="105">
      <c r="A105" s="3" t="inlineStr">
        <is>
          <t>RAYNAL</t>
        </is>
      </c>
    </row>
    <row r="106">
      <c r="A106" s="3" t="inlineStr">
        <is>
          <t>RICHAUD RAINUI</t>
        </is>
      </c>
    </row>
    <row r="107">
      <c r="A107" s="3" t="inlineStr">
        <is>
          <t>RIGABERT</t>
        </is>
      </c>
    </row>
    <row r="108">
      <c r="A108" s="3" t="inlineStr">
        <is>
          <t>RIVOAL</t>
        </is>
      </c>
    </row>
    <row r="109">
      <c r="A109" s="3" t="inlineStr">
        <is>
          <t>ROBERT</t>
        </is>
      </c>
    </row>
    <row r="110">
      <c r="A110" s="3" t="inlineStr">
        <is>
          <t>ROCUET</t>
        </is>
      </c>
    </row>
    <row r="111">
      <c r="A111" s="3" t="inlineStr">
        <is>
          <t>ROUX</t>
        </is>
      </c>
    </row>
    <row r="112">
      <c r="A112" s="3" t="inlineStr">
        <is>
          <t>RUIZ NICOLAS</t>
        </is>
      </c>
    </row>
    <row r="113">
      <c r="A113" s="3" t="inlineStr">
        <is>
          <t>SAID</t>
        </is>
      </c>
    </row>
    <row r="114">
      <c r="A114" s="3" t="inlineStr">
        <is>
          <t>SANDERRE</t>
        </is>
      </c>
    </row>
    <row r="115">
      <c r="A115" s="3" t="inlineStr">
        <is>
          <t>SARCHER Thomas</t>
        </is>
      </c>
    </row>
    <row r="116">
      <c r="A116" s="3" t="inlineStr">
        <is>
          <t>SCUILLER</t>
        </is>
      </c>
    </row>
    <row r="117">
      <c r="A117" s="3" t="inlineStr">
        <is>
          <t>SOOKHAREEA</t>
        </is>
      </c>
    </row>
    <row r="118">
      <c r="A118" s="3" t="inlineStr">
        <is>
          <t>SOUSSI</t>
        </is>
      </c>
    </row>
    <row r="119">
      <c r="A119" s="3" t="inlineStr">
        <is>
          <t>TEREOROTUA</t>
        </is>
      </c>
    </row>
    <row r="120">
      <c r="A120" s="3" t="inlineStr">
        <is>
          <t>TESTEVUIDE Pascal</t>
        </is>
      </c>
    </row>
    <row r="121">
      <c r="A121" s="3" t="inlineStr">
        <is>
          <t>THOBIE</t>
        </is>
      </c>
    </row>
    <row r="122">
      <c r="A122" s="3" t="inlineStr">
        <is>
          <t>TUHEIAVA</t>
        </is>
      </c>
    </row>
    <row r="123">
      <c r="A123" s="3" t="inlineStr">
        <is>
          <t>HAMY Anne-Sophie</t>
        </is>
      </c>
    </row>
    <row r="124">
      <c r="A124" s="3" t="inlineStr">
        <is>
          <t>TURGEON Véronique</t>
        </is>
      </c>
    </row>
    <row r="125">
      <c r="A125" s="3" t="inlineStr">
        <is>
          <t>VU DINH</t>
        </is>
      </c>
    </row>
    <row r="126">
      <c r="A126" s="3" t="inlineStr">
        <is>
          <t>WATRIN Louise</t>
        </is>
      </c>
    </row>
    <row r="127">
      <c r="A127" s="3" t="inlineStr">
        <is>
          <t>WYNANDS</t>
        </is>
      </c>
    </row>
    <row r="128">
      <c r="A128" s="3" t="inlineStr">
        <is>
          <t>YUE Serge</t>
        </is>
      </c>
    </row>
    <row r="129">
      <c r="A129" s="3" t="inlineStr">
        <is>
          <t>MADEC Tanguy</t>
        </is>
      </c>
    </row>
    <row r="130">
      <c r="A130" s="3" t="inlineStr">
        <is>
          <t>JEANTET Pierre</t>
        </is>
      </c>
    </row>
    <row r="131">
      <c r="A131" s="3" t="inlineStr">
        <is>
          <t>MOLINA Bérangère</t>
        </is>
      </c>
    </row>
    <row r="132">
      <c r="A132" s="3" t="inlineStr">
        <is>
          <t>PANSARD</t>
        </is>
      </c>
    </row>
    <row r="133">
      <c r="A133" s="3" t="inlineStr">
        <is>
          <t>TAURAA TEFANA</t>
        </is>
      </c>
    </row>
    <row r="134">
      <c r="A134" s="3" t="inlineStr">
        <is>
          <t>SAVARINO</t>
        </is>
      </c>
    </row>
    <row r="135">
      <c r="A135" s="3" t="inlineStr">
        <is>
          <t>LIONET</t>
        </is>
      </c>
    </row>
    <row r="136">
      <c r="A136" s="3" t="inlineStr">
        <is>
          <t>FICHTER</t>
        </is>
      </c>
    </row>
    <row r="137">
      <c r="A137" s="3" t="inlineStr">
        <is>
          <t>MOLINA Bérangère</t>
        </is>
      </c>
    </row>
    <row r="138">
      <c r="A138" s="3" t="inlineStr">
        <is>
          <t>NGUYEN Linh</t>
        </is>
      </c>
    </row>
    <row r="139">
      <c r="A139" s="3" t="inlineStr">
        <is>
          <t>ROMANO Valentine</t>
        </is>
      </c>
    </row>
    <row r="140">
      <c r="A140" s="3" t="inlineStr">
        <is>
          <t>Troncy</t>
        </is>
      </c>
    </row>
    <row r="141">
      <c r="A141" s="3" t="inlineStr">
        <is>
          <t>Couturier</t>
        </is>
      </c>
    </row>
    <row r="142">
      <c r="A142" s="3" t="inlineStr">
        <is>
          <t>Petit</t>
        </is>
      </c>
    </row>
    <row r="143">
      <c r="A143" s="3" t="inlineStr">
        <is>
          <t>DARIER</t>
        </is>
      </c>
    </row>
    <row r="144">
      <c r="A144" s="3" t="inlineStr">
        <is>
          <t>AGENOR</t>
        </is>
      </c>
    </row>
    <row r="145">
      <c r="A145" s="3" t="inlineStr">
        <is>
          <t>SIMON José</t>
        </is>
      </c>
    </row>
    <row r="146">
      <c r="A146" s="3" t="inlineStr">
        <is>
          <t>LEMAITRE</t>
        </is>
      </c>
    </row>
    <row r="147">
      <c r="A147" s="3" t="inlineStr">
        <is>
          <t>ORAIN</t>
        </is>
      </c>
    </row>
    <row r="148">
      <c r="A148" s="3" t="inlineStr">
        <is>
          <t>Barateau</t>
        </is>
      </c>
    </row>
    <row r="149">
      <c r="A149" s="3" t="inlineStr">
        <is>
          <t>Bertrand</t>
        </is>
      </c>
    </row>
    <row r="150">
      <c r="A150" s="3" t="inlineStr">
        <is>
          <t>Burdin</t>
        </is>
      </c>
    </row>
    <row r="151">
      <c r="A151" s="3" t="inlineStr">
        <is>
          <t>Metral</t>
        </is>
      </c>
    </row>
    <row r="152">
      <c r="A152" s="3" t="inlineStr">
        <is>
          <t>Rousset</t>
        </is>
      </c>
    </row>
    <row r="153">
      <c r="A153" s="3" t="inlineStr">
        <is>
          <t>Chastand</t>
        </is>
      </c>
    </row>
    <row r="154">
      <c r="A154" s="3" t="inlineStr">
        <is>
          <t>Canterot</t>
        </is>
      </c>
    </row>
    <row r="155">
      <c r="A155" s="3" t="inlineStr">
        <is>
          <t>TESTORY</t>
        </is>
      </c>
    </row>
    <row r="156">
      <c r="A156" s="3" t="inlineStr">
        <is>
          <t>Nguyen Ngoc</t>
        </is>
      </c>
    </row>
    <row r="157">
      <c r="A157" s="3" t="inlineStr">
        <is>
          <t>Lometti</t>
        </is>
      </c>
    </row>
    <row r="158">
      <c r="A158" s="3" t="inlineStr">
        <is>
          <t>Zecchi - M5553</t>
        </is>
      </c>
    </row>
    <row r="159">
      <c r="A159" s="3" t="inlineStr">
        <is>
          <t>BLANC</t>
        </is>
      </c>
    </row>
    <row r="160">
      <c r="A160" s="3" t="inlineStr">
        <is>
          <t>WANG FOO Hiriata</t>
        </is>
      </c>
    </row>
    <row r="161">
      <c r="A161" s="3" t="inlineStr">
        <is>
          <t>ALLE</t>
        </is>
      </c>
    </row>
    <row r="162">
      <c r="A162" s="3" t="inlineStr">
        <is>
          <t>FREZALS</t>
        </is>
      </c>
    </row>
    <row r="163">
      <c r="A163" s="3" t="inlineStr">
        <is>
          <t>Fleury</t>
        </is>
      </c>
    </row>
    <row r="164">
      <c r="A164" s="3" t="inlineStr">
        <is>
          <t>LEBRETON Valentine</t>
        </is>
      </c>
    </row>
    <row r="165">
      <c r="A165" s="3" t="inlineStr">
        <is>
          <t>ZHONG</t>
        </is>
      </c>
    </row>
    <row r="166">
      <c r="A166" s="3" t="inlineStr">
        <is>
          <t>GONNET</t>
        </is>
      </c>
    </row>
    <row r="167">
      <c r="A167" s="3" t="inlineStr">
        <is>
          <t>PAITRA</t>
        </is>
      </c>
    </row>
    <row r="168">
      <c r="A168" s="3" t="inlineStr">
        <is>
          <t>ROCQUES</t>
        </is>
      </c>
    </row>
    <row r="169">
      <c r="A169" s="3" t="inlineStr">
        <is>
          <t>SERRERO</t>
        </is>
      </c>
    </row>
    <row r="170">
      <c r="A170" s="3" t="inlineStr">
        <is>
          <t>Canoville - M4345</t>
        </is>
      </c>
    </row>
    <row r="171">
      <c r="A171" s="3" t="inlineStr">
        <is>
          <t>Jacquot - M3029</t>
        </is>
      </c>
    </row>
    <row r="172">
      <c r="A172" s="3" t="inlineStr">
        <is>
          <t>Dziebowski - M5536</t>
        </is>
      </c>
    </row>
    <row r="173">
      <c r="A173" s="3" t="inlineStr">
        <is>
          <t>Carbonnier M387</t>
        </is>
      </c>
    </row>
    <row r="174">
      <c r="A174" s="3" t="inlineStr">
        <is>
          <t>Prieur</t>
        </is>
      </c>
    </row>
    <row r="175">
      <c r="A175" s="3" t="inlineStr">
        <is>
          <t>Loquet - M408</t>
        </is>
      </c>
    </row>
    <row r="176">
      <c r="A176" s="3" t="inlineStr">
        <is>
          <t>Granger - M5792</t>
        </is>
      </c>
    </row>
    <row r="177">
      <c r="A177" s="3" t="inlineStr">
        <is>
          <t>Viguier - M4508</t>
        </is>
      </c>
    </row>
    <row r="178">
      <c r="A178" s="3" t="inlineStr">
        <is>
          <t>Dimier - M596</t>
        </is>
      </c>
    </row>
    <row r="179">
      <c r="A179" s="3" t="inlineStr">
        <is>
          <t>Bayle  M4319</t>
        </is>
      </c>
    </row>
    <row r="180">
      <c r="A180" s="3" t="inlineStr">
        <is>
          <t>Vingiguerra - M5841</t>
        </is>
      </c>
    </row>
    <row r="181">
      <c r="A181" s="3" t="inlineStr">
        <is>
          <t>Izard - M4209</t>
        </is>
      </c>
    </row>
    <row r="182">
      <c r="A182" s="3" t="inlineStr">
        <is>
          <t>Tuaillon - M3630</t>
        </is>
      </c>
    </row>
    <row r="183">
      <c r="A183" s="3" t="inlineStr">
        <is>
          <t>Petitpas- M5271</t>
        </is>
      </c>
    </row>
    <row r="184">
      <c r="A184" s="3" t="inlineStr">
        <is>
          <t>Sarda - M4989</t>
        </is>
      </c>
    </row>
    <row r="185">
      <c r="A185" s="3" t="inlineStr">
        <is>
          <t>Ritter - M5990</t>
        </is>
      </c>
    </row>
    <row r="186">
      <c r="A186" s="3" t="inlineStr">
        <is>
          <t>Nunez - M2154</t>
        </is>
      </c>
    </row>
    <row r="187">
      <c r="A187" s="3" t="inlineStr">
        <is>
          <t>Weber - M5913</t>
        </is>
      </c>
    </row>
    <row r="188">
      <c r="A188" s="3" t="inlineStr">
        <is>
          <t>Matzuzzi - M6007</t>
        </is>
      </c>
    </row>
    <row r="189">
      <c r="A189" s="3" t="inlineStr">
        <is>
          <t>Landes - M4703</t>
        </is>
      </c>
    </row>
    <row r="190">
      <c r="A190" s="3" t="inlineStr">
        <is>
          <t>GUEGUEN - M3712</t>
        </is>
      </c>
    </row>
    <row r="191">
      <c r="A191" s="3" t="inlineStr">
        <is>
          <t>BOUZIRI - M5884</t>
        </is>
      </c>
    </row>
    <row r="192">
      <c r="A192" s="3" t="inlineStr">
        <is>
          <t>BERAUD - M5322</t>
        </is>
      </c>
    </row>
    <row r="193">
      <c r="A193" s="3" t="inlineStr">
        <is>
          <t>PUEL - M5876</t>
        </is>
      </c>
    </row>
    <row r="194">
      <c r="A194" s="3" t="inlineStr">
        <is>
          <t>HUBAL - M5925</t>
        </is>
      </c>
    </row>
    <row r="195">
      <c r="A195" s="3" t="inlineStr">
        <is>
          <t>URVOAS - M4360</t>
        </is>
      </c>
    </row>
    <row r="196">
      <c r="A196" s="3" t="inlineStr">
        <is>
          <t>GREPPO - M5474</t>
        </is>
      </c>
    </row>
    <row r="197">
      <c r="A197" s="3" t="inlineStr">
        <is>
          <t>OLIVEIRA DA SILVA - M4274</t>
        </is>
      </c>
    </row>
    <row r="198">
      <c r="A198" s="3" t="inlineStr">
        <is>
          <t>HENRIET - M5549</t>
        </is>
      </c>
    </row>
    <row r="199">
      <c r="A199" s="3" t="inlineStr">
        <is>
          <t>CHIU - M1126</t>
        </is>
      </c>
    </row>
    <row r="200">
      <c r="A200" s="3" t="inlineStr">
        <is>
          <t>AIT-AMMAR - M5991</t>
        </is>
      </c>
    </row>
    <row r="201">
      <c r="A201" s="3" t="inlineStr">
        <is>
          <t>Interne PLASSE - M6008</t>
        </is>
      </c>
    </row>
    <row r="202">
      <c r="A202" s="3" t="inlineStr">
        <is>
          <t>Gallais - M3287</t>
        </is>
      </c>
    </row>
    <row r="203">
      <c r="A203" s="3" t="inlineStr">
        <is>
          <t>Buffet - M1184</t>
        </is>
      </c>
    </row>
    <row r="204">
      <c r="A204" s="3" t="inlineStr">
        <is>
          <t>Carpentier - M2379</t>
        </is>
      </c>
    </row>
    <row r="205">
      <c r="A205" s="3" t="inlineStr">
        <is>
          <t>Bauchet - M5968</t>
        </is>
      </c>
    </row>
    <row r="206">
      <c r="A206" s="3" t="inlineStr">
        <is>
          <t>Pousset-Roomataaroa M4769</t>
        </is>
      </c>
    </row>
    <row r="207">
      <c r="A207" s="3" t="inlineStr">
        <is>
          <t>Trousset - M5711</t>
        </is>
      </c>
    </row>
    <row r="208">
      <c r="A208" s="3" t="inlineStr">
        <is>
          <t>Belli - M1131</t>
        </is>
      </c>
    </row>
    <row r="209">
      <c r="A209" s="3" t="inlineStr">
        <is>
          <t>Desbiolles - M4537</t>
        </is>
      </c>
    </row>
    <row r="210">
      <c r="A210" s="3" t="inlineStr">
        <is>
          <t>Montocchio-Buades - M6082</t>
        </is>
      </c>
    </row>
    <row r="211">
      <c r="A211" s="3" t="inlineStr">
        <is>
          <t>Covic - M1866</t>
        </is>
      </c>
    </row>
    <row r="212">
      <c r="A212" s="3" t="inlineStr">
        <is>
          <t>Michel - M2369</t>
        </is>
      </c>
    </row>
    <row r="213">
      <c r="A213" s="3" t="inlineStr">
        <is>
          <t>Thomas - M6094</t>
        </is>
      </c>
    </row>
    <row r="214">
      <c r="A214" s="3" t="inlineStr">
        <is>
          <t>Lopez-Eguilaz - M1397</t>
        </is>
      </c>
    </row>
    <row r="215">
      <c r="A215" s="3" t="inlineStr">
        <is>
          <t>Habib - M3410</t>
        </is>
      </c>
    </row>
    <row r="216">
      <c r="A216" s="3" t="inlineStr">
        <is>
          <t>Lutinier - M2397</t>
        </is>
      </c>
    </row>
    <row r="217">
      <c r="A217" s="3" t="inlineStr">
        <is>
          <t>Hamzeh - M5947</t>
        </is>
      </c>
    </row>
    <row r="218">
      <c r="A218" s="3" t="inlineStr">
        <is>
          <t>Bonnamy - M1416</t>
        </is>
      </c>
    </row>
    <row r="219">
      <c r="A219" s="3" t="inlineStr">
        <is>
          <t>Jamme - M5827</t>
        </is>
      </c>
    </row>
    <row r="220">
      <c r="A220" s="3" t="inlineStr">
        <is>
          <t>Favre - M5910</t>
        </is>
      </c>
    </row>
    <row r="221">
      <c r="A221" s="3" t="inlineStr">
        <is>
          <t>SIMON - M4984</t>
        </is>
      </c>
    </row>
    <row r="222">
      <c r="A222" s="3" t="inlineStr">
        <is>
          <t>FRAYSSINET - M5044</t>
        </is>
      </c>
    </row>
    <row r="223">
      <c r="A223" s="3" t="inlineStr">
        <is>
          <t>MUNOS - M4208</t>
        </is>
      </c>
    </row>
    <row r="224">
      <c r="A224" s="3" t="inlineStr">
        <is>
          <t>TEBERNE - M6194</t>
        </is>
      </c>
    </row>
    <row r="225">
      <c r="A225" s="3" t="inlineStr">
        <is>
          <t>LECORDIER M1320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</cols>
  <sheetData>
    <row r="1">
      <c r="A1" s="1" t="inlineStr">
        <is>
          <t>Statut</t>
        </is>
      </c>
      <c r="B1" s="1" t="inlineStr">
        <is>
          <t>Exclu_facturation</t>
        </is>
      </c>
    </row>
    <row r="2">
      <c r="A2" s="3" t="inlineStr">
        <is>
          <t>CPH prévu</t>
        </is>
      </c>
      <c r="B2" s="3" t="b">
        <v>0</v>
      </c>
    </row>
    <row r="3">
      <c r="A3" s="3" t="inlineStr">
        <is>
          <t>CPH fait</t>
        </is>
      </c>
      <c r="B3" s="3" t="b">
        <v>0</v>
      </c>
    </row>
    <row r="4">
      <c r="A4" s="3" t="inlineStr">
        <is>
          <t>DEP postée</t>
        </is>
      </c>
      <c r="B4" s="3" t="b">
        <v>0</v>
      </c>
    </row>
    <row r="5">
      <c r="A5" s="3" t="inlineStr">
        <is>
          <t>DEP validée</t>
        </is>
      </c>
      <c r="B5" s="3" t="b">
        <v>0</v>
      </c>
    </row>
    <row r="6">
      <c r="A6" s="3" t="inlineStr">
        <is>
          <t>BEP fait</t>
        </is>
      </c>
      <c r="B6" s="3" t="b">
        <v>0</v>
      </c>
    </row>
    <row r="7">
      <c r="A7" s="3" t="inlineStr">
        <is>
          <t>DEP refusée</t>
        </is>
      </c>
      <c r="B7" s="3" t="b">
        <v>1</v>
      </c>
    </row>
    <row r="8">
      <c r="A8" s="3" t="inlineStr">
        <is>
          <t>DEP annulée</t>
        </is>
      </c>
      <c r="B8" s="3" t="b">
        <v>1</v>
      </c>
    </row>
    <row r="9">
      <c r="A9" s="3" t="inlineStr">
        <is>
          <t>Refus centre</t>
        </is>
      </c>
      <c r="B9" s="3" t="b">
        <v>1</v>
      </c>
    </row>
    <row r="10">
      <c r="A10" s="3" t="inlineStr">
        <is>
          <t>Refus CPS</t>
        </is>
      </c>
      <c r="B10" s="3" t="b">
        <v>1</v>
      </c>
    </row>
    <row r="11">
      <c r="A11" s="3" t="inlineStr">
        <is>
          <t>Attente</t>
        </is>
      </c>
      <c r="B11" s="3" t="b">
        <v>0</v>
      </c>
    </row>
    <row r="12">
      <c r="A12" s="3" t="inlineStr">
        <is>
          <t>Auto-financement</t>
        </is>
      </c>
      <c r="B12" s="3" t="b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Mouvements</t>
        </is>
      </c>
    </row>
    <row r="2">
      <c r="A2" s="3" t="inlineStr">
        <is>
          <t>Attente</t>
        </is>
      </c>
    </row>
    <row r="3">
      <c r="A3" s="3" t="inlineStr">
        <is>
          <t>En cours</t>
        </is>
      </c>
    </row>
    <row r="4">
      <c r="A4" s="3" t="inlineStr">
        <is>
          <t>Fin DA</t>
        </is>
      </c>
    </row>
    <row r="5">
      <c r="A5" s="3" t="inlineStr">
        <is>
          <t>Sortie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Programmation</t>
        </is>
      </c>
      <c r="B1" s="1" t="inlineStr">
        <is>
          <t>Compte_Present</t>
        </is>
      </c>
    </row>
    <row r="2">
      <c r="A2" s="3" t="inlineStr">
        <is>
          <t>Prévu</t>
        </is>
      </c>
      <c r="B2" s="3" t="b">
        <v>0</v>
      </c>
    </row>
    <row r="3">
      <c r="A3" s="3" t="inlineStr">
        <is>
          <t>Présent</t>
        </is>
      </c>
      <c r="B3" s="3" t="b">
        <v>1</v>
      </c>
    </row>
    <row r="4">
      <c r="A4" s="3" t="inlineStr">
        <is>
          <t>Annulation</t>
        </is>
      </c>
      <c r="B4" s="3" t="b">
        <v>0</v>
      </c>
    </row>
    <row r="5">
      <c r="A5" s="3" t="inlineStr">
        <is>
          <t>Absent non prévenu</t>
        </is>
      </c>
      <c r="B5" s="3" t="b">
        <v>0</v>
      </c>
    </row>
    <row r="6">
      <c r="A6" s="3" t="inlineStr">
        <is>
          <t>Journée gratuite</t>
        </is>
      </c>
      <c r="B6" s="3" t="b">
        <v>0</v>
      </c>
    </row>
    <row r="7">
      <c r="A7" s="3" t="inlineStr">
        <is>
          <t>Indispo a prévenu</t>
        </is>
      </c>
      <c r="B7" s="3" t="b">
        <v>0</v>
      </c>
    </row>
    <row r="8">
      <c r="A8" s="3" t="inlineStr">
        <is>
          <t>VAD</t>
        </is>
      </c>
      <c r="B8" s="3" t="b">
        <v>0</v>
      </c>
    </row>
    <row r="9">
      <c r="A9" s="3" t="inlineStr">
        <is>
          <t>Attente CPS / Présent</t>
        </is>
      </c>
      <c r="B9" s="3" t="b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Groupe</t>
        </is>
      </c>
    </row>
    <row r="2">
      <c r="A2" s="3" t="inlineStr">
        <is>
          <t>BEP x3</t>
        </is>
      </c>
    </row>
    <row r="3">
      <c r="A3" s="3" t="inlineStr">
        <is>
          <t>CH POST-A</t>
        </is>
      </c>
    </row>
    <row r="4">
      <c r="A4" s="3" t="inlineStr">
        <is>
          <t>G1+2+3+4-21NC</t>
        </is>
      </c>
    </row>
    <row r="5">
      <c r="A5" s="3" t="inlineStr">
        <is>
          <t>G1-23 CHIR</t>
        </is>
      </c>
    </row>
    <row r="6">
      <c r="A6" s="3" t="inlineStr">
        <is>
          <t>G1-23 NC</t>
        </is>
      </c>
    </row>
    <row r="7">
      <c r="A7" s="3" t="inlineStr">
        <is>
          <t>G1-24</t>
        </is>
      </c>
    </row>
    <row r="8">
      <c r="A8" s="3" t="inlineStr">
        <is>
          <t>G2-23 NC</t>
        </is>
      </c>
    </row>
    <row r="9">
      <c r="A9" s="3" t="inlineStr">
        <is>
          <t>G2-24</t>
        </is>
      </c>
    </row>
    <row r="10">
      <c r="A10" s="3" t="inlineStr">
        <is>
          <t>G3-23 NC</t>
        </is>
      </c>
    </row>
    <row r="11">
      <c r="A11" s="3" t="inlineStr">
        <is>
          <t>G3-24</t>
        </is>
      </c>
    </row>
    <row r="12">
      <c r="A12" s="3" t="inlineStr">
        <is>
          <t>G4+5-22NC</t>
        </is>
      </c>
    </row>
    <row r="13">
      <c r="A13" s="3" t="inlineStr">
        <is>
          <t>G4-23 CHIR</t>
        </is>
      </c>
    </row>
    <row r="14">
      <c r="A14" s="3" t="inlineStr">
        <is>
          <t>G4-23 NC</t>
        </is>
      </c>
    </row>
    <row r="15">
      <c r="A15" s="3" t="inlineStr">
        <is>
          <t>G4-24</t>
        </is>
      </c>
    </row>
    <row r="16">
      <c r="A16" s="3" t="inlineStr">
        <is>
          <t>G5-23 NC</t>
        </is>
      </c>
    </row>
    <row r="17">
      <c r="A17" s="3" t="inlineStr">
        <is>
          <t>G5-24</t>
        </is>
      </c>
    </row>
    <row r="18">
      <c r="A18" s="3" t="inlineStr">
        <is>
          <t>G6-22-NC</t>
        </is>
      </c>
    </row>
    <row r="19">
      <c r="A19" s="3" t="inlineStr">
        <is>
          <t>Int 2-24</t>
        </is>
      </c>
    </row>
    <row r="20">
      <c r="A20" s="3" t="inlineStr">
        <is>
          <t>Int 3-24</t>
        </is>
      </c>
    </row>
    <row r="21">
      <c r="A21" s="3" t="inlineStr">
        <is>
          <t>Int 4-24</t>
        </is>
      </c>
    </row>
    <row r="22">
      <c r="A22" s="3" t="inlineStr">
        <is>
          <t>Int 5-24</t>
        </is>
      </c>
    </row>
    <row r="23">
      <c r="A23" s="3" t="inlineStr">
        <is>
          <t>Int G10-24</t>
        </is>
      </c>
    </row>
    <row r="24">
      <c r="A24" s="3" t="inlineStr">
        <is>
          <t>Int G11-24</t>
        </is>
      </c>
    </row>
    <row r="25">
      <c r="A25" s="3" t="inlineStr">
        <is>
          <t>Int G12-24</t>
        </is>
      </c>
    </row>
    <row r="26">
      <c r="A26" s="3" t="inlineStr">
        <is>
          <t>Int G13-24</t>
        </is>
      </c>
    </row>
    <row r="27">
      <c r="A27" s="3" t="inlineStr">
        <is>
          <t>Int G14-24</t>
        </is>
      </c>
    </row>
    <row r="28">
      <c r="A28" s="3" t="inlineStr">
        <is>
          <t>Int G15-24</t>
        </is>
      </c>
    </row>
    <row r="29">
      <c r="A29" s="3" t="inlineStr">
        <is>
          <t>Int G16-24</t>
        </is>
      </c>
    </row>
    <row r="30">
      <c r="A30" s="3" t="inlineStr">
        <is>
          <t>Int G17-24</t>
        </is>
      </c>
    </row>
    <row r="31">
      <c r="A31" s="3" t="inlineStr">
        <is>
          <t>Int G18-24</t>
        </is>
      </c>
    </row>
    <row r="32">
      <c r="A32" s="3" t="inlineStr">
        <is>
          <t>Int G19-24</t>
        </is>
      </c>
    </row>
    <row r="33">
      <c r="A33" s="3" t="inlineStr">
        <is>
          <t>Int G20-24</t>
        </is>
      </c>
    </row>
    <row r="34">
      <c r="A34" s="3" t="inlineStr">
        <is>
          <t>Int G21-24</t>
        </is>
      </c>
    </row>
    <row r="35">
      <c r="A35" s="3" t="inlineStr">
        <is>
          <t>Int G22-24</t>
        </is>
      </c>
    </row>
    <row r="36">
      <c r="A36" s="3" t="inlineStr">
        <is>
          <t>Int G23-24</t>
        </is>
      </c>
    </row>
    <row r="37">
      <c r="A37" s="3" t="inlineStr">
        <is>
          <t>Int G24-24</t>
        </is>
      </c>
    </row>
    <row r="38">
      <c r="A38" s="3" t="inlineStr">
        <is>
          <t>Int G25-24</t>
        </is>
      </c>
    </row>
    <row r="39">
      <c r="A39" s="3" t="inlineStr">
        <is>
          <t>Int G26-24</t>
        </is>
      </c>
    </row>
    <row r="40">
      <c r="A40" s="3" t="inlineStr">
        <is>
          <t>Int G27-24</t>
        </is>
      </c>
    </row>
    <row r="41">
      <c r="A41" s="3" t="inlineStr">
        <is>
          <t>Int G28-24</t>
        </is>
      </c>
    </row>
    <row r="42">
      <c r="A42" s="3" t="inlineStr">
        <is>
          <t>Int G7-24</t>
        </is>
      </c>
    </row>
    <row r="43">
      <c r="A43" s="3" t="inlineStr">
        <is>
          <t>Int G8-24</t>
        </is>
      </c>
    </row>
    <row r="44">
      <c r="A44" s="3" t="inlineStr">
        <is>
          <t>Int G9-24</t>
        </is>
      </c>
    </row>
    <row r="45">
      <c r="A45" s="3" t="inlineStr">
        <is>
          <t>Post-int G14+15-24</t>
        </is>
      </c>
    </row>
    <row r="46">
      <c r="A46" s="3" t="inlineStr">
        <is>
          <t>Post-int G16-24-18-24</t>
        </is>
      </c>
    </row>
    <row r="47">
      <c r="A47" s="3" t="inlineStr">
        <is>
          <t>Rattrapage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Commune</t>
        </is>
      </c>
      <c r="B1" s="1" t="inlineStr">
        <is>
          <t>Code_postal</t>
        </is>
      </c>
    </row>
    <row r="2">
      <c r="A2" s="3" t="inlineStr">
        <is>
          <t>AFAAHITI</t>
        </is>
      </c>
      <c r="B2" s="3" t="n"/>
    </row>
    <row r="3">
      <c r="A3" s="3" t="inlineStr">
        <is>
          <t>ANAA</t>
        </is>
      </c>
      <c r="B3" s="3" t="n">
        <v>98790</v>
      </c>
    </row>
    <row r="4">
      <c r="A4" s="3" t="inlineStr">
        <is>
          <t>APATAKI</t>
        </is>
      </c>
      <c r="B4" s="3" t="n">
        <v>98762</v>
      </c>
    </row>
    <row r="5">
      <c r="A5" s="3" t="inlineStr">
        <is>
          <t>ARUE</t>
        </is>
      </c>
      <c r="B5" s="3" t="n">
        <v>98701</v>
      </c>
    </row>
    <row r="6">
      <c r="A6" s="3" t="inlineStr">
        <is>
          <t>ARUTUA</t>
        </is>
      </c>
      <c r="B6" s="3" t="n">
        <v>98761</v>
      </c>
    </row>
    <row r="7">
      <c r="A7" s="3" t="inlineStr">
        <is>
          <t>BORA-BORA</t>
        </is>
      </c>
      <c r="B7" s="3" t="n">
        <v>98730</v>
      </c>
    </row>
    <row r="8">
      <c r="A8" s="3" t="inlineStr">
        <is>
          <t>FAAA</t>
        </is>
      </c>
      <c r="B8" s="3" t="n">
        <v>98704</v>
      </c>
    </row>
    <row r="9">
      <c r="A9" s="3" t="inlineStr">
        <is>
          <t>FAAONE</t>
        </is>
      </c>
      <c r="B9" s="3" t="n">
        <v>98720</v>
      </c>
    </row>
    <row r="10">
      <c r="A10" s="3" t="inlineStr">
        <is>
          <t>FAKARAVA</t>
        </is>
      </c>
      <c r="B10" s="3" t="n">
        <v>98790</v>
      </c>
    </row>
    <row r="11">
      <c r="A11" s="3" t="inlineStr">
        <is>
          <t>FANGATAU</t>
        </is>
      </c>
      <c r="B11" s="3" t="n">
        <v>98765</v>
      </c>
    </row>
    <row r="12">
      <c r="A12" s="3" t="inlineStr">
        <is>
          <t>FATU-HIVA</t>
        </is>
      </c>
      <c r="B12" s="3" t="n">
        <v>98740</v>
      </c>
    </row>
    <row r="13">
      <c r="A13" s="3" t="inlineStr">
        <is>
          <t>GAMBIER</t>
        </is>
      </c>
      <c r="B13" s="3" t="n">
        <v>98755</v>
      </c>
    </row>
    <row r="14">
      <c r="A14" s="3" t="inlineStr">
        <is>
          <t>HAO</t>
        </is>
      </c>
      <c r="B14" s="3" t="n">
        <v>98790</v>
      </c>
    </row>
    <row r="15">
      <c r="A15" s="3" t="inlineStr">
        <is>
          <t>HIKUERU</t>
        </is>
      </c>
      <c r="B15" s="3" t="n">
        <v>98790</v>
      </c>
    </row>
    <row r="16">
      <c r="A16" s="3" t="inlineStr">
        <is>
          <t>HITIAA</t>
        </is>
      </c>
      <c r="B16" s="3" t="n">
        <v>98705</v>
      </c>
    </row>
    <row r="17">
      <c r="A17" s="3" t="inlineStr">
        <is>
          <t>HIVA-OA</t>
        </is>
      </c>
      <c r="B17" s="3" t="n">
        <v>98796</v>
      </c>
    </row>
    <row r="18">
      <c r="A18" s="3" t="inlineStr">
        <is>
          <t>HUAHINE</t>
        </is>
      </c>
      <c r="B18" s="3" t="n">
        <v>98731</v>
      </c>
    </row>
    <row r="19">
      <c r="A19" s="3" t="inlineStr">
        <is>
          <t>KAUEHI</t>
        </is>
      </c>
      <c r="B19" s="3" t="n">
        <v>98787</v>
      </c>
    </row>
    <row r="20">
      <c r="A20" s="3" t="inlineStr">
        <is>
          <t>MAHAENA</t>
        </is>
      </c>
      <c r="B20" s="3" t="n">
        <v>98706</v>
      </c>
    </row>
    <row r="21">
      <c r="A21" s="3" t="inlineStr">
        <is>
          <t>MAHINA</t>
        </is>
      </c>
      <c r="B21" s="3" t="n">
        <v>98709</v>
      </c>
    </row>
    <row r="22">
      <c r="A22" s="3" t="inlineStr">
        <is>
          <t>MAKEMO</t>
        </is>
      </c>
      <c r="B22" s="3" t="n">
        <v>98790</v>
      </c>
    </row>
    <row r="23">
      <c r="A23" s="3" t="inlineStr">
        <is>
          <t>MANIHI</t>
        </is>
      </c>
      <c r="B23" s="3" t="n">
        <v>98770</v>
      </c>
    </row>
    <row r="24">
      <c r="A24" s="3" t="inlineStr">
        <is>
          <t>MATAIEA</t>
        </is>
      </c>
      <c r="B24" s="3" t="n">
        <v>98726</v>
      </c>
    </row>
    <row r="25">
      <c r="A25" s="3" t="inlineStr">
        <is>
          <t>MATAIVA</t>
        </is>
      </c>
      <c r="B25" s="3" t="n"/>
    </row>
    <row r="26">
      <c r="A26" s="3" t="inlineStr">
        <is>
          <t>MAUPITI</t>
        </is>
      </c>
      <c r="B26" s="3" t="n">
        <v>98732</v>
      </c>
    </row>
    <row r="27">
      <c r="A27" s="3" t="inlineStr">
        <is>
          <t>MOOREA</t>
        </is>
      </c>
      <c r="B27" s="3" t="n">
        <v>98728</v>
      </c>
    </row>
    <row r="28">
      <c r="A28" s="3" t="inlineStr">
        <is>
          <t>NAPUKA</t>
        </is>
      </c>
      <c r="B28" s="3" t="n">
        <v>98791</v>
      </c>
    </row>
    <row r="29">
      <c r="A29" s="3" t="inlineStr">
        <is>
          <t>NIAU</t>
        </is>
      </c>
      <c r="B29" s="3" t="n">
        <v>98759</v>
      </c>
    </row>
    <row r="30">
      <c r="A30" s="3" t="inlineStr">
        <is>
          <t>NUKU-HIVA</t>
        </is>
      </c>
      <c r="B30" s="3" t="n">
        <v>98796</v>
      </c>
    </row>
    <row r="31">
      <c r="A31" s="3" t="inlineStr">
        <is>
          <t>PAEA</t>
        </is>
      </c>
      <c r="B31" s="3" t="n">
        <v>98711</v>
      </c>
    </row>
    <row r="32">
      <c r="A32" s="3" t="inlineStr">
        <is>
          <t>PAPARA</t>
        </is>
      </c>
      <c r="B32" s="3" t="n">
        <v>98712</v>
      </c>
    </row>
    <row r="33">
      <c r="A33" s="3" t="inlineStr">
        <is>
          <t>PAPEARI</t>
        </is>
      </c>
      <c r="B33" s="3" t="n">
        <v>98727</v>
      </c>
    </row>
    <row r="34">
      <c r="A34" s="3" t="inlineStr">
        <is>
          <t>PAPEETE</t>
        </is>
      </c>
      <c r="B34" s="3" t="n">
        <v>98714</v>
      </c>
    </row>
    <row r="35">
      <c r="A35" s="3" t="inlineStr">
        <is>
          <t>PAPENOO</t>
        </is>
      </c>
      <c r="B35" s="3" t="n">
        <v>98707</v>
      </c>
    </row>
    <row r="36">
      <c r="A36" s="3" t="inlineStr">
        <is>
          <t>PIRAE</t>
        </is>
      </c>
      <c r="B36" s="3" t="n">
        <v>98716</v>
      </c>
    </row>
    <row r="37">
      <c r="A37" s="3" t="inlineStr">
        <is>
          <t>PUEU</t>
        </is>
      </c>
      <c r="B37" s="3" t="n">
        <v>98721</v>
      </c>
    </row>
    <row r="38">
      <c r="A38" s="3" t="inlineStr">
        <is>
          <t>PUNAAUIA</t>
        </is>
      </c>
      <c r="B38" s="3" t="n">
        <v>98717</v>
      </c>
    </row>
    <row r="39">
      <c r="A39" s="3" t="inlineStr">
        <is>
          <t>RAIATEA</t>
        </is>
      </c>
      <c r="B39" s="3" t="n">
        <v>98735</v>
      </c>
    </row>
    <row r="40">
      <c r="A40" s="3" t="inlineStr">
        <is>
          <t>RAIVAVAE</t>
        </is>
      </c>
      <c r="B40" s="3" t="n">
        <v>98750</v>
      </c>
    </row>
    <row r="41">
      <c r="A41" s="3" t="inlineStr">
        <is>
          <t>RANGIROA</t>
        </is>
      </c>
      <c r="B41" s="3" t="n">
        <v>98775</v>
      </c>
    </row>
    <row r="42">
      <c r="A42" s="3" t="inlineStr">
        <is>
          <t>RAPA</t>
        </is>
      </c>
      <c r="B42" s="3" t="n">
        <v>98794</v>
      </c>
    </row>
    <row r="43">
      <c r="A43" s="3" t="inlineStr">
        <is>
          <t>RIMATARA</t>
        </is>
      </c>
      <c r="B43" s="3" t="n">
        <v>98752</v>
      </c>
    </row>
    <row r="44">
      <c r="A44" s="3" t="inlineStr">
        <is>
          <t>RURUTU</t>
        </is>
      </c>
      <c r="B44" s="3" t="n">
        <v>98753</v>
      </c>
    </row>
    <row r="45">
      <c r="A45" s="3" t="inlineStr">
        <is>
          <t>TAHAA</t>
        </is>
      </c>
      <c r="B45" s="3" t="n">
        <v>98734</v>
      </c>
    </row>
    <row r="46">
      <c r="A46" s="3" t="inlineStr">
        <is>
          <t>TAHUATA</t>
        </is>
      </c>
      <c r="B46" s="3" t="n">
        <v>98743</v>
      </c>
    </row>
    <row r="47">
      <c r="A47" s="3" t="inlineStr">
        <is>
          <t>TARAVAO</t>
        </is>
      </c>
      <c r="B47" s="3" t="n">
        <v>98719</v>
      </c>
    </row>
    <row r="48">
      <c r="A48" s="3" t="inlineStr">
        <is>
          <t>TAUTIRA</t>
        </is>
      </c>
      <c r="B48" s="3" t="n">
        <v>98722</v>
      </c>
    </row>
    <row r="49">
      <c r="A49" s="3" t="inlineStr">
        <is>
          <t>TEAHUPOO</t>
        </is>
      </c>
      <c r="B49" s="3" t="n">
        <v>98723</v>
      </c>
    </row>
    <row r="50">
      <c r="A50" s="3" t="inlineStr">
        <is>
          <t>TIAREI</t>
        </is>
      </c>
      <c r="B50" s="3" t="n">
        <v>98708</v>
      </c>
    </row>
    <row r="51">
      <c r="A51" s="3" t="inlineStr">
        <is>
          <t>TOAHOTU</t>
        </is>
      </c>
      <c r="B51" s="3" t="n">
        <v>98724</v>
      </c>
    </row>
    <row r="52">
      <c r="A52" s="3" t="inlineStr">
        <is>
          <t>TUBUAI</t>
        </is>
      </c>
      <c r="B52" s="3" t="n">
        <v>98754</v>
      </c>
    </row>
    <row r="53">
      <c r="A53" s="3" t="inlineStr">
        <is>
          <t>UA-HUKA</t>
        </is>
      </c>
      <c r="B53" s="3" t="n">
        <v>98744</v>
      </c>
    </row>
    <row r="54">
      <c r="A54" s="3" t="inlineStr">
        <is>
          <t>UA-POU</t>
        </is>
      </c>
      <c r="B54" s="3" t="n">
        <v>98746</v>
      </c>
    </row>
    <row r="55">
      <c r="A55" s="3" t="inlineStr">
        <is>
          <t>VAIRAO</t>
        </is>
      </c>
      <c r="B55" s="3" t="n">
        <v>98725</v>
      </c>
    </row>
    <row r="56">
      <c r="A56" s="3" t="inlineStr">
        <is>
          <t>AHE</t>
        </is>
      </c>
      <c r="B56" s="3" t="n"/>
    </row>
    <row r="57">
      <c r="A57" s="3" t="inlineStr">
        <is>
          <t>ARATIKA</t>
        </is>
      </c>
      <c r="B57" s="3" t="n">
        <v>98764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Motif_Hospit</t>
        </is>
      </c>
      <c r="B1" s="1" t="inlineStr">
        <is>
          <t>Motif_refus_CPS</t>
        </is>
      </c>
      <c r="C1" s="1" t="inlineStr">
        <is>
          <t>Motif_refus_OraOra</t>
        </is>
      </c>
    </row>
    <row r="2">
      <c r="A2" s="3" t="inlineStr">
        <is>
          <t>ETP CHIR</t>
        </is>
      </c>
      <c r="B2" s="3" t="inlineStr">
        <is>
          <t>Refus CPS erreur OraOra erreur bénéficiaire</t>
        </is>
      </c>
      <c r="C2" s="3" t="inlineStr">
        <is>
          <t>Indispo</t>
        </is>
      </c>
    </row>
    <row r="3">
      <c r="A3" s="3" t="inlineStr">
        <is>
          <t>ETP NC</t>
        </is>
      </c>
      <c r="B3" s="3" t="inlineStr">
        <is>
          <t>Refus CPS erreur OraORa manque CRH</t>
        </is>
      </c>
      <c r="C3" s="3" t="inlineStr">
        <is>
          <t>Perte de motivation</t>
        </is>
      </c>
    </row>
    <row r="4">
      <c r="B4" s="3" t="inlineStr">
        <is>
          <t>Refus CPS relève du libéral</t>
        </is>
      </c>
      <c r="C4" s="3" t="inlineStr">
        <is>
          <t>Maladie ou décès</t>
        </is>
      </c>
    </row>
    <row r="5">
      <c r="B5" s="3" t="inlineStr">
        <is>
          <t>Refus CPS erreur OraOra date</t>
        </is>
      </c>
      <c r="C5" s="3" t="inlineStr">
        <is>
          <t>Reprise activité pro</t>
        </is>
      </c>
    </row>
    <row r="6">
      <c r="B6" s="3" t="inlineStr">
        <is>
          <t>Refus CPS pas de forfait amputé</t>
        </is>
      </c>
      <c r="C6" s="3" t="inlineStr">
        <is>
          <t>Déménagement</t>
        </is>
      </c>
    </row>
    <row r="7">
      <c r="B7" s="3" t="inlineStr">
        <is>
          <t>Refus CPS pas de forfait cardio</t>
        </is>
      </c>
      <c r="C7" s="3" t="inlineStr">
        <is>
          <t>Problème financier</t>
        </is>
      </c>
    </row>
    <row r="8">
      <c r="B8" s="3" t="inlineStr">
        <is>
          <t>Inaccessibilité domicile</t>
        </is>
      </c>
      <c r="C8" s="3" t="inlineStr">
        <is>
          <t>Déjà pris en charge en libéral</t>
        </is>
      </c>
    </row>
    <row r="9">
      <c r="B9" s="3" t="inlineStr">
        <is>
          <t>Refus CPS forfait inadapté</t>
        </is>
      </c>
      <c r="C9" s="3" t="inlineStr">
        <is>
          <t>Relève du libéral</t>
        </is>
      </c>
    </row>
    <row r="10">
      <c r="B10" s="3" t="inlineStr">
        <is>
          <t>Erreur admin</t>
        </is>
      </c>
      <c r="C10" s="3" t="inlineStr">
        <is>
          <t>Trop lourd</t>
        </is>
      </c>
    </row>
    <row r="11">
      <c r="B11" s="3" t="inlineStr">
        <is>
          <t>Refus CPS car prescripteur non MED</t>
        </is>
      </c>
      <c r="C11" s="3" t="inlineStr">
        <is>
          <t>Refus patient</t>
        </is>
      </c>
    </row>
    <row r="12">
      <c r="B12" s="3" t="inlineStr">
        <is>
          <t>Refus CPS erreur CPS</t>
        </is>
      </c>
      <c r="C12" s="3" t="inlineStr">
        <is>
          <t>Annulation DEP site CPs par Centre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>
      <c r="A1" s="1" t="inlineStr">
        <is>
          <t>Categorie_Refus</t>
        </is>
      </c>
    </row>
    <row r="2">
      <c r="A2" s="3" t="inlineStr">
        <is>
          <t>Droits fermés</t>
        </is>
      </c>
    </row>
    <row r="3">
      <c r="A3" s="3" t="inlineStr">
        <is>
          <t>JRS hors DA</t>
        </is>
      </c>
    </row>
    <row r="4">
      <c r="A4" s="3" t="inlineStr">
        <is>
          <t>Blocage CPS</t>
        </is>
      </c>
    </row>
    <row r="5">
      <c r="A5" s="3" t="inlineStr">
        <is>
          <t>Erreur facturation</t>
        </is>
      </c>
    </row>
    <row r="6">
      <c r="A6" s="3" t="inlineStr">
        <is>
          <t>Pas de notification reçu de la CPS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Date</t>
        </is>
      </c>
      <c r="B1" s="1" t="inlineStr">
        <is>
          <t>Annee</t>
        </is>
      </c>
      <c r="C1" s="1" t="inlineStr">
        <is>
          <t>Mois</t>
        </is>
      </c>
      <c r="D1" s="1" t="inlineStr">
        <is>
          <t>Semaine_Iso</t>
        </is>
      </c>
      <c r="E1" s="1" t="inlineStr">
        <is>
          <t>No_Semaine</t>
        </is>
      </c>
    </row>
    <row r="2">
      <c r="A2" s="2" t="n">
        <v>44927</v>
      </c>
      <c r="B2" s="3" t="n">
        <v>2023</v>
      </c>
      <c r="C2" s="3" t="n">
        <v>1</v>
      </c>
      <c r="D2" s="3" t="n">
        <v>52</v>
      </c>
      <c r="E2" s="3" t="inlineStr">
        <is>
          <t>S22-52</t>
        </is>
      </c>
    </row>
    <row r="3">
      <c r="A3" s="2" t="n">
        <v>44928</v>
      </c>
      <c r="B3" s="3" t="n">
        <v>2023</v>
      </c>
      <c r="C3" s="3" t="n">
        <v>1</v>
      </c>
      <c r="D3" s="3" t="n">
        <v>1</v>
      </c>
      <c r="E3" s="3" t="inlineStr">
        <is>
          <t>S23-01</t>
        </is>
      </c>
    </row>
    <row r="4">
      <c r="A4" s="2" t="n">
        <v>44929</v>
      </c>
      <c r="B4" s="3" t="n">
        <v>2023</v>
      </c>
      <c r="C4" s="3" t="n">
        <v>1</v>
      </c>
      <c r="D4" s="3" t="n">
        <v>1</v>
      </c>
      <c r="E4" s="3" t="inlineStr">
        <is>
          <t>S23-01</t>
        </is>
      </c>
    </row>
    <row r="5">
      <c r="A5" s="2" t="n">
        <v>44930</v>
      </c>
      <c r="B5" s="3" t="n">
        <v>2023</v>
      </c>
      <c r="C5" s="3" t="n">
        <v>1</v>
      </c>
      <c r="D5" s="3" t="n">
        <v>1</v>
      </c>
      <c r="E5" s="3" t="inlineStr">
        <is>
          <t>S23-01</t>
        </is>
      </c>
    </row>
    <row r="6">
      <c r="A6" s="2" t="n">
        <v>44931</v>
      </c>
      <c r="B6" s="3" t="n">
        <v>2023</v>
      </c>
      <c r="C6" s="3" t="n">
        <v>1</v>
      </c>
      <c r="D6" s="3" t="n">
        <v>1</v>
      </c>
      <c r="E6" s="3" t="inlineStr">
        <is>
          <t>S23-01</t>
        </is>
      </c>
    </row>
    <row r="7">
      <c r="A7" s="2" t="n">
        <v>44932</v>
      </c>
      <c r="B7" s="3" t="n">
        <v>2023</v>
      </c>
      <c r="C7" s="3" t="n">
        <v>1</v>
      </c>
      <c r="D7" s="3" t="n">
        <v>1</v>
      </c>
      <c r="E7" s="3" t="inlineStr">
        <is>
          <t>S23-01</t>
        </is>
      </c>
    </row>
    <row r="8">
      <c r="A8" s="2" t="n">
        <v>44933</v>
      </c>
      <c r="B8" s="3" t="n">
        <v>2023</v>
      </c>
      <c r="C8" s="3" t="n">
        <v>1</v>
      </c>
      <c r="D8" s="3" t="n">
        <v>1</v>
      </c>
      <c r="E8" s="3" t="inlineStr">
        <is>
          <t>S23-01</t>
        </is>
      </c>
    </row>
    <row r="9">
      <c r="A9" s="2" t="n">
        <v>44934</v>
      </c>
      <c r="B9" s="3" t="n">
        <v>2023</v>
      </c>
      <c r="C9" s="3" t="n">
        <v>1</v>
      </c>
      <c r="D9" s="3" t="n">
        <v>1</v>
      </c>
      <c r="E9" s="3" t="inlineStr">
        <is>
          <t>S23-01</t>
        </is>
      </c>
    </row>
    <row r="10">
      <c r="A10" s="2" t="n">
        <v>44935</v>
      </c>
      <c r="B10" s="3" t="n">
        <v>2023</v>
      </c>
      <c r="C10" s="3" t="n">
        <v>1</v>
      </c>
      <c r="D10" s="3" t="n">
        <v>2</v>
      </c>
      <c r="E10" s="3" t="inlineStr">
        <is>
          <t>S23-02</t>
        </is>
      </c>
    </row>
    <row r="11">
      <c r="A11" s="2" t="n">
        <v>44936</v>
      </c>
      <c r="B11" s="3" t="n">
        <v>2023</v>
      </c>
      <c r="C11" s="3" t="n">
        <v>1</v>
      </c>
      <c r="D11" s="3" t="n">
        <v>2</v>
      </c>
      <c r="E11" s="3" t="inlineStr">
        <is>
          <t>S23-02</t>
        </is>
      </c>
    </row>
    <row r="12">
      <c r="A12" s="2" t="n">
        <v>44937</v>
      </c>
      <c r="B12" s="3" t="n">
        <v>2023</v>
      </c>
      <c r="C12" s="3" t="n">
        <v>1</v>
      </c>
      <c r="D12" s="3" t="n">
        <v>2</v>
      </c>
      <c r="E12" s="3" t="inlineStr">
        <is>
          <t>S23-02</t>
        </is>
      </c>
    </row>
    <row r="13">
      <c r="A13" s="2" t="n">
        <v>44938</v>
      </c>
      <c r="B13" s="3" t="n">
        <v>2023</v>
      </c>
      <c r="C13" s="3" t="n">
        <v>1</v>
      </c>
      <c r="D13" s="3" t="n">
        <v>2</v>
      </c>
      <c r="E13" s="3" t="inlineStr">
        <is>
          <t>S23-02</t>
        </is>
      </c>
    </row>
    <row r="14">
      <c r="A14" s="2" t="n">
        <v>44939</v>
      </c>
      <c r="B14" s="3" t="n">
        <v>2023</v>
      </c>
      <c r="C14" s="3" t="n">
        <v>1</v>
      </c>
      <c r="D14" s="3" t="n">
        <v>2</v>
      </c>
      <c r="E14" s="3" t="inlineStr">
        <is>
          <t>S23-02</t>
        </is>
      </c>
    </row>
    <row r="15">
      <c r="A15" s="2" t="n">
        <v>44940</v>
      </c>
      <c r="B15" s="3" t="n">
        <v>2023</v>
      </c>
      <c r="C15" s="3" t="n">
        <v>1</v>
      </c>
      <c r="D15" s="3" t="n">
        <v>2</v>
      </c>
      <c r="E15" s="3" t="inlineStr">
        <is>
          <t>S23-02</t>
        </is>
      </c>
    </row>
    <row r="16">
      <c r="A16" s="2" t="n">
        <v>44941</v>
      </c>
      <c r="B16" s="3" t="n">
        <v>2023</v>
      </c>
      <c r="C16" s="3" t="n">
        <v>1</v>
      </c>
      <c r="D16" s="3" t="n">
        <v>2</v>
      </c>
      <c r="E16" s="3" t="inlineStr">
        <is>
          <t>S23-02</t>
        </is>
      </c>
    </row>
    <row r="17">
      <c r="A17" s="2" t="n">
        <v>44942</v>
      </c>
      <c r="B17" s="3" t="n">
        <v>2023</v>
      </c>
      <c r="C17" s="3" t="n">
        <v>1</v>
      </c>
      <c r="D17" s="3" t="n">
        <v>3</v>
      </c>
      <c r="E17" s="3" t="inlineStr">
        <is>
          <t>S23-03</t>
        </is>
      </c>
    </row>
    <row r="18">
      <c r="A18" s="2" t="n">
        <v>44943</v>
      </c>
      <c r="B18" s="3" t="n">
        <v>2023</v>
      </c>
      <c r="C18" s="3" t="n">
        <v>1</v>
      </c>
      <c r="D18" s="3" t="n">
        <v>3</v>
      </c>
      <c r="E18" s="3" t="inlineStr">
        <is>
          <t>S23-03</t>
        </is>
      </c>
    </row>
    <row r="19">
      <c r="A19" s="2" t="n">
        <v>44944</v>
      </c>
      <c r="B19" s="3" t="n">
        <v>2023</v>
      </c>
      <c r="C19" s="3" t="n">
        <v>1</v>
      </c>
      <c r="D19" s="3" t="n">
        <v>3</v>
      </c>
      <c r="E19" s="3" t="inlineStr">
        <is>
          <t>S23-03</t>
        </is>
      </c>
    </row>
    <row r="20">
      <c r="A20" s="2" t="n">
        <v>44945</v>
      </c>
      <c r="B20" s="3" t="n">
        <v>2023</v>
      </c>
      <c r="C20" s="3" t="n">
        <v>1</v>
      </c>
      <c r="D20" s="3" t="n">
        <v>3</v>
      </c>
      <c r="E20" s="3" t="inlineStr">
        <is>
          <t>S23-03</t>
        </is>
      </c>
    </row>
    <row r="21">
      <c r="A21" s="2" t="n">
        <v>44946</v>
      </c>
      <c r="B21" s="3" t="n">
        <v>2023</v>
      </c>
      <c r="C21" s="3" t="n">
        <v>1</v>
      </c>
      <c r="D21" s="3" t="n">
        <v>3</v>
      </c>
      <c r="E21" s="3" t="inlineStr">
        <is>
          <t>S23-03</t>
        </is>
      </c>
    </row>
    <row r="22">
      <c r="A22" s="2" t="n">
        <v>44947</v>
      </c>
      <c r="B22" s="3" t="n">
        <v>2023</v>
      </c>
      <c r="C22" s="3" t="n">
        <v>1</v>
      </c>
      <c r="D22" s="3" t="n">
        <v>3</v>
      </c>
      <c r="E22" s="3" t="inlineStr">
        <is>
          <t>S23-03</t>
        </is>
      </c>
    </row>
    <row r="23">
      <c r="A23" s="2" t="n">
        <v>44948</v>
      </c>
      <c r="B23" s="3" t="n">
        <v>2023</v>
      </c>
      <c r="C23" s="3" t="n">
        <v>1</v>
      </c>
      <c r="D23" s="3" t="n">
        <v>3</v>
      </c>
      <c r="E23" s="3" t="inlineStr">
        <is>
          <t>S23-03</t>
        </is>
      </c>
    </row>
    <row r="24">
      <c r="A24" s="2" t="n">
        <v>44949</v>
      </c>
      <c r="B24" s="3" t="n">
        <v>2023</v>
      </c>
      <c r="C24" s="3" t="n">
        <v>1</v>
      </c>
      <c r="D24" s="3" t="n">
        <v>4</v>
      </c>
      <c r="E24" s="3" t="inlineStr">
        <is>
          <t>S23-04</t>
        </is>
      </c>
    </row>
    <row r="25">
      <c r="A25" s="2" t="n">
        <v>44950</v>
      </c>
      <c r="B25" s="3" t="n">
        <v>2023</v>
      </c>
      <c r="C25" s="3" t="n">
        <v>1</v>
      </c>
      <c r="D25" s="3" t="n">
        <v>4</v>
      </c>
      <c r="E25" s="3" t="inlineStr">
        <is>
          <t>S23-04</t>
        </is>
      </c>
    </row>
    <row r="26">
      <c r="A26" s="2" t="n">
        <v>44951</v>
      </c>
      <c r="B26" s="3" t="n">
        <v>2023</v>
      </c>
      <c r="C26" s="3" t="n">
        <v>1</v>
      </c>
      <c r="D26" s="3" t="n">
        <v>4</v>
      </c>
      <c r="E26" s="3" t="inlineStr">
        <is>
          <t>S23-04</t>
        </is>
      </c>
    </row>
    <row r="27">
      <c r="A27" s="2" t="n">
        <v>44952</v>
      </c>
      <c r="B27" s="3" t="n">
        <v>2023</v>
      </c>
      <c r="C27" s="3" t="n">
        <v>1</v>
      </c>
      <c r="D27" s="3" t="n">
        <v>4</v>
      </c>
      <c r="E27" s="3" t="inlineStr">
        <is>
          <t>S23-04</t>
        </is>
      </c>
    </row>
    <row r="28">
      <c r="A28" s="2" t="n">
        <v>44953</v>
      </c>
      <c r="B28" s="3" t="n">
        <v>2023</v>
      </c>
      <c r="C28" s="3" t="n">
        <v>1</v>
      </c>
      <c r="D28" s="3" t="n">
        <v>4</v>
      </c>
      <c r="E28" s="3" t="inlineStr">
        <is>
          <t>S23-04</t>
        </is>
      </c>
    </row>
    <row r="29">
      <c r="A29" s="2" t="n">
        <v>44954</v>
      </c>
      <c r="B29" s="3" t="n">
        <v>2023</v>
      </c>
      <c r="C29" s="3" t="n">
        <v>1</v>
      </c>
      <c r="D29" s="3" t="n">
        <v>4</v>
      </c>
      <c r="E29" s="3" t="inlineStr">
        <is>
          <t>S23-04</t>
        </is>
      </c>
    </row>
    <row r="30">
      <c r="A30" s="2" t="n">
        <v>44955</v>
      </c>
      <c r="B30" s="3" t="n">
        <v>2023</v>
      </c>
      <c r="C30" s="3" t="n">
        <v>1</v>
      </c>
      <c r="D30" s="3" t="n">
        <v>4</v>
      </c>
      <c r="E30" s="3" t="inlineStr">
        <is>
          <t>S23-04</t>
        </is>
      </c>
    </row>
    <row r="31">
      <c r="A31" s="2" t="n">
        <v>44956</v>
      </c>
      <c r="B31" s="3" t="n">
        <v>2023</v>
      </c>
      <c r="C31" s="3" t="n">
        <v>1</v>
      </c>
      <c r="D31" s="3" t="n">
        <v>5</v>
      </c>
      <c r="E31" s="3" t="inlineStr">
        <is>
          <t>S23-05</t>
        </is>
      </c>
    </row>
    <row r="32">
      <c r="A32" s="2" t="n">
        <v>44957</v>
      </c>
      <c r="B32" s="3" t="n">
        <v>2023</v>
      </c>
      <c r="C32" s="3" t="n">
        <v>1</v>
      </c>
      <c r="D32" s="3" t="n">
        <v>5</v>
      </c>
      <c r="E32" s="3" t="inlineStr">
        <is>
          <t>S23-05</t>
        </is>
      </c>
    </row>
    <row r="33">
      <c r="A33" s="2" t="n">
        <v>44958</v>
      </c>
      <c r="B33" s="3" t="n">
        <v>2023</v>
      </c>
      <c r="C33" s="3" t="n">
        <v>2</v>
      </c>
      <c r="D33" s="3" t="n">
        <v>5</v>
      </c>
      <c r="E33" s="3" t="inlineStr">
        <is>
          <t>S23-05</t>
        </is>
      </c>
    </row>
    <row r="34">
      <c r="A34" s="2" t="n">
        <v>44959</v>
      </c>
      <c r="B34" s="3" t="n">
        <v>2023</v>
      </c>
      <c r="C34" s="3" t="n">
        <v>2</v>
      </c>
      <c r="D34" s="3" t="n">
        <v>5</v>
      </c>
      <c r="E34" s="3" t="inlineStr">
        <is>
          <t>S23-05</t>
        </is>
      </c>
    </row>
    <row r="35">
      <c r="A35" s="2" t="n">
        <v>44960</v>
      </c>
      <c r="B35" s="3" t="n">
        <v>2023</v>
      </c>
      <c r="C35" s="3" t="n">
        <v>2</v>
      </c>
      <c r="D35" s="3" t="n">
        <v>5</v>
      </c>
      <c r="E35" s="3" t="inlineStr">
        <is>
          <t>S23-05</t>
        </is>
      </c>
    </row>
    <row r="36">
      <c r="A36" s="2" t="n">
        <v>44961</v>
      </c>
      <c r="B36" s="3" t="n">
        <v>2023</v>
      </c>
      <c r="C36" s="3" t="n">
        <v>2</v>
      </c>
      <c r="D36" s="3" t="n">
        <v>5</v>
      </c>
      <c r="E36" s="3" t="inlineStr">
        <is>
          <t>S23-05</t>
        </is>
      </c>
    </row>
    <row r="37">
      <c r="A37" s="2" t="n">
        <v>44962</v>
      </c>
      <c r="B37" s="3" t="n">
        <v>2023</v>
      </c>
      <c r="C37" s="3" t="n">
        <v>2</v>
      </c>
      <c r="D37" s="3" t="n">
        <v>5</v>
      </c>
      <c r="E37" s="3" t="inlineStr">
        <is>
          <t>S23-05</t>
        </is>
      </c>
    </row>
    <row r="38">
      <c r="A38" s="2" t="n">
        <v>44963</v>
      </c>
      <c r="B38" s="3" t="n">
        <v>2023</v>
      </c>
      <c r="C38" s="3" t="n">
        <v>2</v>
      </c>
      <c r="D38" s="3" t="n">
        <v>6</v>
      </c>
      <c r="E38" s="3" t="inlineStr">
        <is>
          <t>S23-06</t>
        </is>
      </c>
    </row>
    <row r="39">
      <c r="A39" s="2" t="n">
        <v>44964</v>
      </c>
      <c r="B39" s="3" t="n">
        <v>2023</v>
      </c>
      <c r="C39" s="3" t="n">
        <v>2</v>
      </c>
      <c r="D39" s="3" t="n">
        <v>6</v>
      </c>
      <c r="E39" s="3" t="inlineStr">
        <is>
          <t>S23-06</t>
        </is>
      </c>
    </row>
    <row r="40">
      <c r="A40" s="2" t="n">
        <v>44965</v>
      </c>
      <c r="B40" s="3" t="n">
        <v>2023</v>
      </c>
      <c r="C40" s="3" t="n">
        <v>2</v>
      </c>
      <c r="D40" s="3" t="n">
        <v>6</v>
      </c>
      <c r="E40" s="3" t="inlineStr">
        <is>
          <t>S23-06</t>
        </is>
      </c>
    </row>
    <row r="41">
      <c r="A41" s="2" t="n">
        <v>44966</v>
      </c>
      <c r="B41" s="3" t="n">
        <v>2023</v>
      </c>
      <c r="C41" s="3" t="n">
        <v>2</v>
      </c>
      <c r="D41" s="3" t="n">
        <v>6</v>
      </c>
      <c r="E41" s="3" t="inlineStr">
        <is>
          <t>S23-06</t>
        </is>
      </c>
    </row>
    <row r="42">
      <c r="A42" s="2" t="n">
        <v>44967</v>
      </c>
      <c r="B42" s="3" t="n">
        <v>2023</v>
      </c>
      <c r="C42" s="3" t="n">
        <v>2</v>
      </c>
      <c r="D42" s="3" t="n">
        <v>6</v>
      </c>
      <c r="E42" s="3" t="inlineStr">
        <is>
          <t>S23-06</t>
        </is>
      </c>
    </row>
    <row r="43">
      <c r="A43" s="2" t="n">
        <v>44968</v>
      </c>
      <c r="B43" s="3" t="n">
        <v>2023</v>
      </c>
      <c r="C43" s="3" t="n">
        <v>2</v>
      </c>
      <c r="D43" s="3" t="n">
        <v>6</v>
      </c>
      <c r="E43" s="3" t="inlineStr">
        <is>
          <t>S23-06</t>
        </is>
      </c>
    </row>
    <row r="44">
      <c r="A44" s="2" t="n">
        <v>44969</v>
      </c>
      <c r="B44" s="3" t="n">
        <v>2023</v>
      </c>
      <c r="C44" s="3" t="n">
        <v>2</v>
      </c>
      <c r="D44" s="3" t="n">
        <v>6</v>
      </c>
      <c r="E44" s="3" t="inlineStr">
        <is>
          <t>S23-06</t>
        </is>
      </c>
    </row>
    <row r="45">
      <c r="A45" s="2" t="n">
        <v>44970</v>
      </c>
      <c r="B45" s="3" t="n">
        <v>2023</v>
      </c>
      <c r="C45" s="3" t="n">
        <v>2</v>
      </c>
      <c r="D45" s="3" t="n">
        <v>7</v>
      </c>
      <c r="E45" s="3" t="inlineStr">
        <is>
          <t>S23-07</t>
        </is>
      </c>
    </row>
    <row r="46">
      <c r="A46" s="2" t="n">
        <v>44971</v>
      </c>
      <c r="B46" s="3" t="n">
        <v>2023</v>
      </c>
      <c r="C46" s="3" t="n">
        <v>2</v>
      </c>
      <c r="D46" s="3" t="n">
        <v>7</v>
      </c>
      <c r="E46" s="3" t="inlineStr">
        <is>
          <t>S23-07</t>
        </is>
      </c>
    </row>
    <row r="47">
      <c r="A47" s="2" t="n">
        <v>44972</v>
      </c>
      <c r="B47" s="3" t="n">
        <v>2023</v>
      </c>
      <c r="C47" s="3" t="n">
        <v>2</v>
      </c>
      <c r="D47" s="3" t="n">
        <v>7</v>
      </c>
      <c r="E47" s="3" t="inlineStr">
        <is>
          <t>S23-07</t>
        </is>
      </c>
    </row>
    <row r="48">
      <c r="A48" s="2" t="n">
        <v>44973</v>
      </c>
      <c r="B48" s="3" t="n">
        <v>2023</v>
      </c>
      <c r="C48" s="3" t="n">
        <v>2</v>
      </c>
      <c r="D48" s="3" t="n">
        <v>7</v>
      </c>
      <c r="E48" s="3" t="inlineStr">
        <is>
          <t>S23-07</t>
        </is>
      </c>
    </row>
    <row r="49">
      <c r="A49" s="2" t="n">
        <v>44974</v>
      </c>
      <c r="B49" s="3" t="n">
        <v>2023</v>
      </c>
      <c r="C49" s="3" t="n">
        <v>2</v>
      </c>
      <c r="D49" s="3" t="n">
        <v>7</v>
      </c>
      <c r="E49" s="3" t="inlineStr">
        <is>
          <t>S23-07</t>
        </is>
      </c>
    </row>
    <row r="50">
      <c r="A50" s="2" t="n">
        <v>44975</v>
      </c>
      <c r="B50" s="3" t="n">
        <v>2023</v>
      </c>
      <c r="C50" s="3" t="n">
        <v>2</v>
      </c>
      <c r="D50" s="3" t="n">
        <v>7</v>
      </c>
      <c r="E50" s="3" t="inlineStr">
        <is>
          <t>S23-07</t>
        </is>
      </c>
    </row>
    <row r="51">
      <c r="A51" s="2" t="n">
        <v>44976</v>
      </c>
      <c r="B51" s="3" t="n">
        <v>2023</v>
      </c>
      <c r="C51" s="3" t="n">
        <v>2</v>
      </c>
      <c r="D51" s="3" t="n">
        <v>7</v>
      </c>
      <c r="E51" s="3" t="inlineStr">
        <is>
          <t>S23-07</t>
        </is>
      </c>
    </row>
    <row r="52">
      <c r="A52" s="2" t="n">
        <v>44977</v>
      </c>
      <c r="B52" s="3" t="n">
        <v>2023</v>
      </c>
      <c r="C52" s="3" t="n">
        <v>2</v>
      </c>
      <c r="D52" s="3" t="n">
        <v>8</v>
      </c>
      <c r="E52" s="3" t="inlineStr">
        <is>
          <t>S23-08</t>
        </is>
      </c>
    </row>
    <row r="53">
      <c r="A53" s="2" t="n">
        <v>44978</v>
      </c>
      <c r="B53" s="3" t="n">
        <v>2023</v>
      </c>
      <c r="C53" s="3" t="n">
        <v>2</v>
      </c>
      <c r="D53" s="3" t="n">
        <v>8</v>
      </c>
      <c r="E53" s="3" t="inlineStr">
        <is>
          <t>S23-08</t>
        </is>
      </c>
    </row>
    <row r="54">
      <c r="A54" s="2" t="n">
        <v>44979</v>
      </c>
      <c r="B54" s="3" t="n">
        <v>2023</v>
      </c>
      <c r="C54" s="3" t="n">
        <v>2</v>
      </c>
      <c r="D54" s="3" t="n">
        <v>8</v>
      </c>
      <c r="E54" s="3" t="inlineStr">
        <is>
          <t>S23-08</t>
        </is>
      </c>
    </row>
    <row r="55">
      <c r="A55" s="2" t="n">
        <v>44980</v>
      </c>
      <c r="B55" s="3" t="n">
        <v>2023</v>
      </c>
      <c r="C55" s="3" t="n">
        <v>2</v>
      </c>
      <c r="D55" s="3" t="n">
        <v>8</v>
      </c>
      <c r="E55" s="3" t="inlineStr">
        <is>
          <t>S23-08</t>
        </is>
      </c>
    </row>
    <row r="56">
      <c r="A56" s="2" t="n">
        <v>44981</v>
      </c>
      <c r="B56" s="3" t="n">
        <v>2023</v>
      </c>
      <c r="C56" s="3" t="n">
        <v>2</v>
      </c>
      <c r="D56" s="3" t="n">
        <v>8</v>
      </c>
      <c r="E56" s="3" t="inlineStr">
        <is>
          <t>S23-08</t>
        </is>
      </c>
    </row>
    <row r="57">
      <c r="A57" s="2" t="n">
        <v>44982</v>
      </c>
      <c r="B57" s="3" t="n">
        <v>2023</v>
      </c>
      <c r="C57" s="3" t="n">
        <v>2</v>
      </c>
      <c r="D57" s="3" t="n">
        <v>8</v>
      </c>
      <c r="E57" s="3" t="inlineStr">
        <is>
          <t>S23-08</t>
        </is>
      </c>
    </row>
    <row r="58">
      <c r="A58" s="2" t="n">
        <v>44983</v>
      </c>
      <c r="B58" s="3" t="n">
        <v>2023</v>
      </c>
      <c r="C58" s="3" t="n">
        <v>2</v>
      </c>
      <c r="D58" s="3" t="n">
        <v>8</v>
      </c>
      <c r="E58" s="3" t="inlineStr">
        <is>
          <t>S23-08</t>
        </is>
      </c>
    </row>
    <row r="59">
      <c r="A59" s="2" t="n">
        <v>44984</v>
      </c>
      <c r="B59" s="3" t="n">
        <v>2023</v>
      </c>
      <c r="C59" s="3" t="n">
        <v>2</v>
      </c>
      <c r="D59" s="3" t="n">
        <v>9</v>
      </c>
      <c r="E59" s="3" t="inlineStr">
        <is>
          <t>S23-09</t>
        </is>
      </c>
    </row>
    <row r="60">
      <c r="A60" s="2" t="n">
        <v>44985</v>
      </c>
      <c r="B60" s="3" t="n">
        <v>2023</v>
      </c>
      <c r="C60" s="3" t="n">
        <v>2</v>
      </c>
      <c r="D60" s="3" t="n">
        <v>9</v>
      </c>
      <c r="E60" s="3" t="inlineStr">
        <is>
          <t>S23-09</t>
        </is>
      </c>
    </row>
    <row r="61">
      <c r="A61" s="2" t="n">
        <v>44986</v>
      </c>
      <c r="B61" s="3" t="n">
        <v>2023</v>
      </c>
      <c r="C61" s="3" t="n">
        <v>3</v>
      </c>
      <c r="D61" s="3" t="n">
        <v>9</v>
      </c>
      <c r="E61" s="3" t="inlineStr">
        <is>
          <t>S23-09</t>
        </is>
      </c>
    </row>
    <row r="62">
      <c r="A62" s="2" t="n">
        <v>44987</v>
      </c>
      <c r="B62" s="3" t="n">
        <v>2023</v>
      </c>
      <c r="C62" s="3" t="n">
        <v>3</v>
      </c>
      <c r="D62" s="3" t="n">
        <v>9</v>
      </c>
      <c r="E62" s="3" t="inlineStr">
        <is>
          <t>S23-09</t>
        </is>
      </c>
    </row>
    <row r="63">
      <c r="A63" s="2" t="n">
        <v>44988</v>
      </c>
      <c r="B63" s="3" t="n">
        <v>2023</v>
      </c>
      <c r="C63" s="3" t="n">
        <v>3</v>
      </c>
      <c r="D63" s="3" t="n">
        <v>9</v>
      </c>
      <c r="E63" s="3" t="inlineStr">
        <is>
          <t>S23-09</t>
        </is>
      </c>
    </row>
    <row r="64">
      <c r="A64" s="2" t="n">
        <v>44989</v>
      </c>
      <c r="B64" s="3" t="n">
        <v>2023</v>
      </c>
      <c r="C64" s="3" t="n">
        <v>3</v>
      </c>
      <c r="D64" s="3" t="n">
        <v>9</v>
      </c>
      <c r="E64" s="3" t="inlineStr">
        <is>
          <t>S23-09</t>
        </is>
      </c>
    </row>
    <row r="65">
      <c r="A65" s="2" t="n">
        <v>44990</v>
      </c>
      <c r="B65" s="3" t="n">
        <v>2023</v>
      </c>
      <c r="C65" s="3" t="n">
        <v>3</v>
      </c>
      <c r="D65" s="3" t="n">
        <v>9</v>
      </c>
      <c r="E65" s="3" t="inlineStr">
        <is>
          <t>S23-09</t>
        </is>
      </c>
    </row>
    <row r="66">
      <c r="A66" s="2" t="n">
        <v>44991</v>
      </c>
      <c r="B66" s="3" t="n">
        <v>2023</v>
      </c>
      <c r="C66" s="3" t="n">
        <v>3</v>
      </c>
      <c r="D66" s="3" t="n">
        <v>10</v>
      </c>
      <c r="E66" s="3" t="inlineStr">
        <is>
          <t>S23-10</t>
        </is>
      </c>
    </row>
    <row r="67">
      <c r="A67" s="2" t="n">
        <v>44992</v>
      </c>
      <c r="B67" s="3" t="n">
        <v>2023</v>
      </c>
      <c r="C67" s="3" t="n">
        <v>3</v>
      </c>
      <c r="D67" s="3" t="n">
        <v>10</v>
      </c>
      <c r="E67" s="3" t="inlineStr">
        <is>
          <t>S23-10</t>
        </is>
      </c>
    </row>
    <row r="68">
      <c r="A68" s="2" t="n">
        <v>44993</v>
      </c>
      <c r="B68" s="3" t="n">
        <v>2023</v>
      </c>
      <c r="C68" s="3" t="n">
        <v>3</v>
      </c>
      <c r="D68" s="3" t="n">
        <v>10</v>
      </c>
      <c r="E68" s="3" t="inlineStr">
        <is>
          <t>S23-10</t>
        </is>
      </c>
    </row>
    <row r="69">
      <c r="A69" s="2" t="n">
        <v>44994</v>
      </c>
      <c r="B69" s="3" t="n">
        <v>2023</v>
      </c>
      <c r="C69" s="3" t="n">
        <v>3</v>
      </c>
      <c r="D69" s="3" t="n">
        <v>10</v>
      </c>
      <c r="E69" s="3" t="inlineStr">
        <is>
          <t>S23-10</t>
        </is>
      </c>
    </row>
    <row r="70">
      <c r="A70" s="2" t="n">
        <v>44995</v>
      </c>
      <c r="B70" s="3" t="n">
        <v>2023</v>
      </c>
      <c r="C70" s="3" t="n">
        <v>3</v>
      </c>
      <c r="D70" s="3" t="n">
        <v>10</v>
      </c>
      <c r="E70" s="3" t="inlineStr">
        <is>
          <t>S23-10</t>
        </is>
      </c>
    </row>
    <row r="71">
      <c r="A71" s="2" t="n">
        <v>44996</v>
      </c>
      <c r="B71" s="3" t="n">
        <v>2023</v>
      </c>
      <c r="C71" s="3" t="n">
        <v>3</v>
      </c>
      <c r="D71" s="3" t="n">
        <v>10</v>
      </c>
      <c r="E71" s="3" t="inlineStr">
        <is>
          <t>S23-10</t>
        </is>
      </c>
    </row>
    <row r="72">
      <c r="A72" s="2" t="n">
        <v>44997</v>
      </c>
      <c r="B72" s="3" t="n">
        <v>2023</v>
      </c>
      <c r="C72" s="3" t="n">
        <v>3</v>
      </c>
      <c r="D72" s="3" t="n">
        <v>10</v>
      </c>
      <c r="E72" s="3" t="inlineStr">
        <is>
          <t>S23-10</t>
        </is>
      </c>
    </row>
    <row r="73">
      <c r="A73" s="2" t="n">
        <v>44998</v>
      </c>
      <c r="B73" s="3" t="n">
        <v>2023</v>
      </c>
      <c r="C73" s="3" t="n">
        <v>3</v>
      </c>
      <c r="D73" s="3" t="n">
        <v>11</v>
      </c>
      <c r="E73" s="3" t="inlineStr">
        <is>
          <t>S23-11</t>
        </is>
      </c>
    </row>
    <row r="74">
      <c r="A74" s="2" t="n">
        <v>44999</v>
      </c>
      <c r="B74" s="3" t="n">
        <v>2023</v>
      </c>
      <c r="C74" s="3" t="n">
        <v>3</v>
      </c>
      <c r="D74" s="3" t="n">
        <v>11</v>
      </c>
      <c r="E74" s="3" t="inlineStr">
        <is>
          <t>S23-11</t>
        </is>
      </c>
    </row>
    <row r="75">
      <c r="A75" s="2" t="n">
        <v>45000</v>
      </c>
      <c r="B75" s="3" t="n">
        <v>2023</v>
      </c>
      <c r="C75" s="3" t="n">
        <v>3</v>
      </c>
      <c r="D75" s="3" t="n">
        <v>11</v>
      </c>
      <c r="E75" s="3" t="inlineStr">
        <is>
          <t>S23-11</t>
        </is>
      </c>
    </row>
    <row r="76">
      <c r="A76" s="2" t="n">
        <v>45001</v>
      </c>
      <c r="B76" s="3" t="n">
        <v>2023</v>
      </c>
      <c r="C76" s="3" t="n">
        <v>3</v>
      </c>
      <c r="D76" s="3" t="n">
        <v>11</v>
      </c>
      <c r="E76" s="3" t="inlineStr">
        <is>
          <t>S23-11</t>
        </is>
      </c>
    </row>
    <row r="77">
      <c r="A77" s="2" t="n">
        <v>45002</v>
      </c>
      <c r="B77" s="3" t="n">
        <v>2023</v>
      </c>
      <c r="C77" s="3" t="n">
        <v>3</v>
      </c>
      <c r="D77" s="3" t="n">
        <v>11</v>
      </c>
      <c r="E77" s="3" t="inlineStr">
        <is>
          <t>S23-11</t>
        </is>
      </c>
    </row>
    <row r="78">
      <c r="A78" s="2" t="n">
        <v>45003</v>
      </c>
      <c r="B78" s="3" t="n">
        <v>2023</v>
      </c>
      <c r="C78" s="3" t="n">
        <v>3</v>
      </c>
      <c r="D78" s="3" t="n">
        <v>11</v>
      </c>
      <c r="E78" s="3" t="inlineStr">
        <is>
          <t>S23-11</t>
        </is>
      </c>
    </row>
    <row r="79">
      <c r="A79" s="2" t="n">
        <v>45004</v>
      </c>
      <c r="B79" s="3" t="n">
        <v>2023</v>
      </c>
      <c r="C79" s="3" t="n">
        <v>3</v>
      </c>
      <c r="D79" s="3" t="n">
        <v>11</v>
      </c>
      <c r="E79" s="3" t="inlineStr">
        <is>
          <t>S23-11</t>
        </is>
      </c>
    </row>
    <row r="80">
      <c r="A80" s="2" t="n">
        <v>45005</v>
      </c>
      <c r="B80" s="3" t="n">
        <v>2023</v>
      </c>
      <c r="C80" s="3" t="n">
        <v>3</v>
      </c>
      <c r="D80" s="3" t="n">
        <v>12</v>
      </c>
      <c r="E80" s="3" t="inlineStr">
        <is>
          <t>S23-12</t>
        </is>
      </c>
    </row>
    <row r="81">
      <c r="A81" s="2" t="n">
        <v>45006</v>
      </c>
      <c r="B81" s="3" t="n">
        <v>2023</v>
      </c>
      <c r="C81" s="3" t="n">
        <v>3</v>
      </c>
      <c r="D81" s="3" t="n">
        <v>12</v>
      </c>
      <c r="E81" s="3" t="inlineStr">
        <is>
          <t>S23-12</t>
        </is>
      </c>
    </row>
    <row r="82">
      <c r="A82" s="2" t="n">
        <v>45007</v>
      </c>
      <c r="B82" s="3" t="n">
        <v>2023</v>
      </c>
      <c r="C82" s="3" t="n">
        <v>3</v>
      </c>
      <c r="D82" s="3" t="n">
        <v>12</v>
      </c>
      <c r="E82" s="3" t="inlineStr">
        <is>
          <t>S23-12</t>
        </is>
      </c>
    </row>
    <row r="83">
      <c r="A83" s="2" t="n">
        <v>45008</v>
      </c>
      <c r="B83" s="3" t="n">
        <v>2023</v>
      </c>
      <c r="C83" s="3" t="n">
        <v>3</v>
      </c>
      <c r="D83" s="3" t="n">
        <v>12</v>
      </c>
      <c r="E83" s="3" t="inlineStr">
        <is>
          <t>S23-12</t>
        </is>
      </c>
    </row>
    <row r="84">
      <c r="A84" s="2" t="n">
        <v>45009</v>
      </c>
      <c r="B84" s="3" t="n">
        <v>2023</v>
      </c>
      <c r="C84" s="3" t="n">
        <v>3</v>
      </c>
      <c r="D84" s="3" t="n">
        <v>12</v>
      </c>
      <c r="E84" s="3" t="inlineStr">
        <is>
          <t>S23-12</t>
        </is>
      </c>
    </row>
    <row r="85">
      <c r="A85" s="2" t="n">
        <v>45010</v>
      </c>
      <c r="B85" s="3" t="n">
        <v>2023</v>
      </c>
      <c r="C85" s="3" t="n">
        <v>3</v>
      </c>
      <c r="D85" s="3" t="n">
        <v>12</v>
      </c>
      <c r="E85" s="3" t="inlineStr">
        <is>
          <t>S23-12</t>
        </is>
      </c>
    </row>
    <row r="86">
      <c r="A86" s="2" t="n">
        <v>45011</v>
      </c>
      <c r="B86" s="3" t="n">
        <v>2023</v>
      </c>
      <c r="C86" s="3" t="n">
        <v>3</v>
      </c>
      <c r="D86" s="3" t="n">
        <v>12</v>
      </c>
      <c r="E86" s="3" t="inlineStr">
        <is>
          <t>S23-12</t>
        </is>
      </c>
    </row>
    <row r="87">
      <c r="A87" s="2" t="n">
        <v>45012</v>
      </c>
      <c r="B87" s="3" t="n">
        <v>2023</v>
      </c>
      <c r="C87" s="3" t="n">
        <v>3</v>
      </c>
      <c r="D87" s="3" t="n">
        <v>13</v>
      </c>
      <c r="E87" s="3" t="inlineStr">
        <is>
          <t>S23-13</t>
        </is>
      </c>
    </row>
    <row r="88">
      <c r="A88" s="2" t="n">
        <v>45013</v>
      </c>
      <c r="B88" s="3" t="n">
        <v>2023</v>
      </c>
      <c r="C88" s="3" t="n">
        <v>3</v>
      </c>
      <c r="D88" s="3" t="n">
        <v>13</v>
      </c>
      <c r="E88" s="3" t="inlineStr">
        <is>
          <t>S23-13</t>
        </is>
      </c>
    </row>
    <row r="89">
      <c r="A89" s="2" t="n">
        <v>45014</v>
      </c>
      <c r="B89" s="3" t="n">
        <v>2023</v>
      </c>
      <c r="C89" s="3" t="n">
        <v>3</v>
      </c>
      <c r="D89" s="3" t="n">
        <v>13</v>
      </c>
      <c r="E89" s="3" t="inlineStr">
        <is>
          <t>S23-13</t>
        </is>
      </c>
    </row>
    <row r="90">
      <c r="A90" s="2" t="n">
        <v>45015</v>
      </c>
      <c r="B90" s="3" t="n">
        <v>2023</v>
      </c>
      <c r="C90" s="3" t="n">
        <v>3</v>
      </c>
      <c r="D90" s="3" t="n">
        <v>13</v>
      </c>
      <c r="E90" s="3" t="inlineStr">
        <is>
          <t>S23-13</t>
        </is>
      </c>
    </row>
    <row r="91">
      <c r="A91" s="2" t="n">
        <v>45016</v>
      </c>
      <c r="B91" s="3" t="n">
        <v>2023</v>
      </c>
      <c r="C91" s="3" t="n">
        <v>3</v>
      </c>
      <c r="D91" s="3" t="n">
        <v>13</v>
      </c>
      <c r="E91" s="3" t="inlineStr">
        <is>
          <t>S23-13</t>
        </is>
      </c>
    </row>
    <row r="92">
      <c r="A92" s="2" t="n">
        <v>45017</v>
      </c>
      <c r="B92" s="3" t="n">
        <v>2023</v>
      </c>
      <c r="C92" s="3" t="n">
        <v>4</v>
      </c>
      <c r="D92" s="3" t="n">
        <v>13</v>
      </c>
      <c r="E92" s="3" t="inlineStr">
        <is>
          <t>S23-13</t>
        </is>
      </c>
    </row>
    <row r="93">
      <c r="A93" s="2" t="n">
        <v>45018</v>
      </c>
      <c r="B93" s="3" t="n">
        <v>2023</v>
      </c>
      <c r="C93" s="3" t="n">
        <v>4</v>
      </c>
      <c r="D93" s="3" t="n">
        <v>13</v>
      </c>
      <c r="E93" s="3" t="inlineStr">
        <is>
          <t>S23-13</t>
        </is>
      </c>
    </row>
    <row r="94">
      <c r="A94" s="2" t="n">
        <v>45019</v>
      </c>
      <c r="B94" s="3" t="n">
        <v>2023</v>
      </c>
      <c r="C94" s="3" t="n">
        <v>4</v>
      </c>
      <c r="D94" s="3" t="n">
        <v>14</v>
      </c>
      <c r="E94" s="3" t="inlineStr">
        <is>
          <t>S23-14</t>
        </is>
      </c>
    </row>
    <row r="95">
      <c r="A95" s="2" t="n">
        <v>45020</v>
      </c>
      <c r="B95" s="3" t="n">
        <v>2023</v>
      </c>
      <c r="C95" s="3" t="n">
        <v>4</v>
      </c>
      <c r="D95" s="3" t="n">
        <v>14</v>
      </c>
      <c r="E95" s="3" t="inlineStr">
        <is>
          <t>S23-14</t>
        </is>
      </c>
    </row>
    <row r="96">
      <c r="A96" s="2" t="n">
        <v>45021</v>
      </c>
      <c r="B96" s="3" t="n">
        <v>2023</v>
      </c>
      <c r="C96" s="3" t="n">
        <v>4</v>
      </c>
      <c r="D96" s="3" t="n">
        <v>14</v>
      </c>
      <c r="E96" s="3" t="inlineStr">
        <is>
          <t>S23-14</t>
        </is>
      </c>
    </row>
    <row r="97">
      <c r="A97" s="2" t="n">
        <v>45022</v>
      </c>
      <c r="B97" s="3" t="n">
        <v>2023</v>
      </c>
      <c r="C97" s="3" t="n">
        <v>4</v>
      </c>
      <c r="D97" s="3" t="n">
        <v>14</v>
      </c>
      <c r="E97" s="3" t="inlineStr">
        <is>
          <t>S23-14</t>
        </is>
      </c>
    </row>
    <row r="98">
      <c r="A98" s="2" t="n">
        <v>45023</v>
      </c>
      <c r="B98" s="3" t="n">
        <v>2023</v>
      </c>
      <c r="C98" s="3" t="n">
        <v>4</v>
      </c>
      <c r="D98" s="3" t="n">
        <v>14</v>
      </c>
      <c r="E98" s="3" t="inlineStr">
        <is>
          <t>S23-14</t>
        </is>
      </c>
    </row>
    <row r="99">
      <c r="A99" s="2" t="n">
        <v>45024</v>
      </c>
      <c r="B99" s="3" t="n">
        <v>2023</v>
      </c>
      <c r="C99" s="3" t="n">
        <v>4</v>
      </c>
      <c r="D99" s="3" t="n">
        <v>14</v>
      </c>
      <c r="E99" s="3" t="inlineStr">
        <is>
          <t>S23-14</t>
        </is>
      </c>
    </row>
    <row r="100">
      <c r="A100" s="2" t="n">
        <v>45025</v>
      </c>
      <c r="B100" s="3" t="n">
        <v>2023</v>
      </c>
      <c r="C100" s="3" t="n">
        <v>4</v>
      </c>
      <c r="D100" s="3" t="n">
        <v>14</v>
      </c>
      <c r="E100" s="3" t="inlineStr">
        <is>
          <t>S23-14</t>
        </is>
      </c>
    </row>
    <row r="101">
      <c r="A101" s="2" t="n">
        <v>45026</v>
      </c>
      <c r="B101" s="3" t="n">
        <v>2023</v>
      </c>
      <c r="C101" s="3" t="n">
        <v>4</v>
      </c>
      <c r="D101" s="3" t="n">
        <v>15</v>
      </c>
      <c r="E101" s="3" t="inlineStr">
        <is>
          <t>S23-15</t>
        </is>
      </c>
    </row>
    <row r="102">
      <c r="A102" s="2" t="n">
        <v>45027</v>
      </c>
      <c r="B102" s="3" t="n">
        <v>2023</v>
      </c>
      <c r="C102" s="3" t="n">
        <v>4</v>
      </c>
      <c r="D102" s="3" t="n">
        <v>15</v>
      </c>
      <c r="E102" s="3" t="inlineStr">
        <is>
          <t>S23-15</t>
        </is>
      </c>
    </row>
    <row r="103">
      <c r="A103" s="2" t="n">
        <v>45028</v>
      </c>
      <c r="B103" s="3" t="n">
        <v>2023</v>
      </c>
      <c r="C103" s="3" t="n">
        <v>4</v>
      </c>
      <c r="D103" s="3" t="n">
        <v>15</v>
      </c>
      <c r="E103" s="3" t="inlineStr">
        <is>
          <t>S23-15</t>
        </is>
      </c>
    </row>
    <row r="104">
      <c r="A104" s="2" t="n">
        <v>45029</v>
      </c>
      <c r="B104" s="3" t="n">
        <v>2023</v>
      </c>
      <c r="C104" s="3" t="n">
        <v>4</v>
      </c>
      <c r="D104" s="3" t="n">
        <v>15</v>
      </c>
      <c r="E104" s="3" t="inlineStr">
        <is>
          <t>S23-15</t>
        </is>
      </c>
    </row>
    <row r="105">
      <c r="A105" s="2" t="n">
        <v>45030</v>
      </c>
      <c r="B105" s="3" t="n">
        <v>2023</v>
      </c>
      <c r="C105" s="3" t="n">
        <v>4</v>
      </c>
      <c r="D105" s="3" t="n">
        <v>15</v>
      </c>
      <c r="E105" s="3" t="inlineStr">
        <is>
          <t>S23-15</t>
        </is>
      </c>
    </row>
    <row r="106">
      <c r="A106" s="2" t="n">
        <v>45031</v>
      </c>
      <c r="B106" s="3" t="n">
        <v>2023</v>
      </c>
      <c r="C106" s="3" t="n">
        <v>4</v>
      </c>
      <c r="D106" s="3" t="n">
        <v>15</v>
      </c>
      <c r="E106" s="3" t="inlineStr">
        <is>
          <t>S23-15</t>
        </is>
      </c>
    </row>
    <row r="107">
      <c r="A107" s="2" t="n">
        <v>45032</v>
      </c>
      <c r="B107" s="3" t="n">
        <v>2023</v>
      </c>
      <c r="C107" s="3" t="n">
        <v>4</v>
      </c>
      <c r="D107" s="3" t="n">
        <v>15</v>
      </c>
      <c r="E107" s="3" t="inlineStr">
        <is>
          <t>S23-15</t>
        </is>
      </c>
    </row>
    <row r="108">
      <c r="A108" s="2" t="n">
        <v>45033</v>
      </c>
      <c r="B108" s="3" t="n">
        <v>2023</v>
      </c>
      <c r="C108" s="3" t="n">
        <v>4</v>
      </c>
      <c r="D108" s="3" t="n">
        <v>16</v>
      </c>
      <c r="E108" s="3" t="inlineStr">
        <is>
          <t>S23-16</t>
        </is>
      </c>
    </row>
    <row r="109">
      <c r="A109" s="2" t="n">
        <v>45034</v>
      </c>
      <c r="B109" s="3" t="n">
        <v>2023</v>
      </c>
      <c r="C109" s="3" t="n">
        <v>4</v>
      </c>
      <c r="D109" s="3" t="n">
        <v>16</v>
      </c>
      <c r="E109" s="3" t="inlineStr">
        <is>
          <t>S23-16</t>
        </is>
      </c>
    </row>
    <row r="110">
      <c r="A110" s="2" t="n">
        <v>45035</v>
      </c>
      <c r="B110" s="3" t="n">
        <v>2023</v>
      </c>
      <c r="C110" s="3" t="n">
        <v>4</v>
      </c>
      <c r="D110" s="3" t="n">
        <v>16</v>
      </c>
      <c r="E110" s="3" t="inlineStr">
        <is>
          <t>S23-16</t>
        </is>
      </c>
    </row>
    <row r="111">
      <c r="A111" s="2" t="n">
        <v>45036</v>
      </c>
      <c r="B111" s="3" t="n">
        <v>2023</v>
      </c>
      <c r="C111" s="3" t="n">
        <v>4</v>
      </c>
      <c r="D111" s="3" t="n">
        <v>16</v>
      </c>
      <c r="E111" s="3" t="inlineStr">
        <is>
          <t>S23-16</t>
        </is>
      </c>
    </row>
    <row r="112">
      <c r="A112" s="2" t="n">
        <v>45037</v>
      </c>
      <c r="B112" s="3" t="n">
        <v>2023</v>
      </c>
      <c r="C112" s="3" t="n">
        <v>4</v>
      </c>
      <c r="D112" s="3" t="n">
        <v>16</v>
      </c>
      <c r="E112" s="3" t="inlineStr">
        <is>
          <t>S23-16</t>
        </is>
      </c>
    </row>
    <row r="113">
      <c r="A113" s="2" t="n">
        <v>45038</v>
      </c>
      <c r="B113" s="3" t="n">
        <v>2023</v>
      </c>
      <c r="C113" s="3" t="n">
        <v>4</v>
      </c>
      <c r="D113" s="3" t="n">
        <v>16</v>
      </c>
      <c r="E113" s="3" t="inlineStr">
        <is>
          <t>S23-16</t>
        </is>
      </c>
    </row>
    <row r="114">
      <c r="A114" s="2" t="n">
        <v>45039</v>
      </c>
      <c r="B114" s="3" t="n">
        <v>2023</v>
      </c>
      <c r="C114" s="3" t="n">
        <v>4</v>
      </c>
      <c r="D114" s="3" t="n">
        <v>16</v>
      </c>
      <c r="E114" s="3" t="inlineStr">
        <is>
          <t>S23-16</t>
        </is>
      </c>
    </row>
    <row r="115">
      <c r="A115" s="2" t="n">
        <v>45040</v>
      </c>
      <c r="B115" s="3" t="n">
        <v>2023</v>
      </c>
      <c r="C115" s="3" t="n">
        <v>4</v>
      </c>
      <c r="D115" s="3" t="n">
        <v>17</v>
      </c>
      <c r="E115" s="3" t="inlineStr">
        <is>
          <t>S23-17</t>
        </is>
      </c>
    </row>
    <row r="116">
      <c r="A116" s="2" t="n">
        <v>45041</v>
      </c>
      <c r="B116" s="3" t="n">
        <v>2023</v>
      </c>
      <c r="C116" s="3" t="n">
        <v>4</v>
      </c>
      <c r="D116" s="3" t="n">
        <v>17</v>
      </c>
      <c r="E116" s="3" t="inlineStr">
        <is>
          <t>S23-17</t>
        </is>
      </c>
    </row>
    <row r="117">
      <c r="A117" s="2" t="n">
        <v>45042</v>
      </c>
      <c r="B117" s="3" t="n">
        <v>2023</v>
      </c>
      <c r="C117" s="3" t="n">
        <v>4</v>
      </c>
      <c r="D117" s="3" t="n">
        <v>17</v>
      </c>
      <c r="E117" s="3" t="inlineStr">
        <is>
          <t>S23-17</t>
        </is>
      </c>
    </row>
    <row r="118">
      <c r="A118" s="2" t="n">
        <v>45043</v>
      </c>
      <c r="B118" s="3" t="n">
        <v>2023</v>
      </c>
      <c r="C118" s="3" t="n">
        <v>4</v>
      </c>
      <c r="D118" s="3" t="n">
        <v>17</v>
      </c>
      <c r="E118" s="3" t="inlineStr">
        <is>
          <t>S23-17</t>
        </is>
      </c>
    </row>
    <row r="119">
      <c r="A119" s="2" t="n">
        <v>45044</v>
      </c>
      <c r="B119" s="3" t="n">
        <v>2023</v>
      </c>
      <c r="C119" s="3" t="n">
        <v>4</v>
      </c>
      <c r="D119" s="3" t="n">
        <v>17</v>
      </c>
      <c r="E119" s="3" t="inlineStr">
        <is>
          <t>S23-17</t>
        </is>
      </c>
    </row>
    <row r="120">
      <c r="A120" s="2" t="n">
        <v>45045</v>
      </c>
      <c r="B120" s="3" t="n">
        <v>2023</v>
      </c>
      <c r="C120" s="3" t="n">
        <v>4</v>
      </c>
      <c r="D120" s="3" t="n">
        <v>17</v>
      </c>
      <c r="E120" s="3" t="inlineStr">
        <is>
          <t>S23-17</t>
        </is>
      </c>
    </row>
    <row r="121">
      <c r="A121" s="2" t="n">
        <v>45046</v>
      </c>
      <c r="B121" s="3" t="n">
        <v>2023</v>
      </c>
      <c r="C121" s="3" t="n">
        <v>4</v>
      </c>
      <c r="D121" s="3" t="n">
        <v>17</v>
      </c>
      <c r="E121" s="3" t="inlineStr">
        <is>
          <t>S23-17</t>
        </is>
      </c>
    </row>
    <row r="122">
      <c r="A122" s="2" t="n">
        <v>45047</v>
      </c>
      <c r="B122" s="3" t="n">
        <v>2023</v>
      </c>
      <c r="C122" s="3" t="n">
        <v>5</v>
      </c>
      <c r="D122" s="3" t="n">
        <v>18</v>
      </c>
      <c r="E122" s="3" t="inlineStr">
        <is>
          <t>S23-18</t>
        </is>
      </c>
    </row>
    <row r="123">
      <c r="A123" s="2" t="n">
        <v>45048</v>
      </c>
      <c r="B123" s="3" t="n">
        <v>2023</v>
      </c>
      <c r="C123" s="3" t="n">
        <v>5</v>
      </c>
      <c r="D123" s="3" t="n">
        <v>18</v>
      </c>
      <c r="E123" s="3" t="inlineStr">
        <is>
          <t>S23-18</t>
        </is>
      </c>
    </row>
    <row r="124">
      <c r="A124" s="2" t="n">
        <v>45049</v>
      </c>
      <c r="B124" s="3" t="n">
        <v>2023</v>
      </c>
      <c r="C124" s="3" t="n">
        <v>5</v>
      </c>
      <c r="D124" s="3" t="n">
        <v>18</v>
      </c>
      <c r="E124" s="3" t="inlineStr">
        <is>
          <t>S23-18</t>
        </is>
      </c>
    </row>
    <row r="125">
      <c r="A125" s="2" t="n">
        <v>45050</v>
      </c>
      <c r="B125" s="3" t="n">
        <v>2023</v>
      </c>
      <c r="C125" s="3" t="n">
        <v>5</v>
      </c>
      <c r="D125" s="3" t="n">
        <v>18</v>
      </c>
      <c r="E125" s="3" t="inlineStr">
        <is>
          <t>S23-18</t>
        </is>
      </c>
    </row>
    <row r="126">
      <c r="A126" s="2" t="n">
        <v>45051</v>
      </c>
      <c r="B126" s="3" t="n">
        <v>2023</v>
      </c>
      <c r="C126" s="3" t="n">
        <v>5</v>
      </c>
      <c r="D126" s="3" t="n">
        <v>18</v>
      </c>
      <c r="E126" s="3" t="inlineStr">
        <is>
          <t>S23-18</t>
        </is>
      </c>
    </row>
    <row r="127">
      <c r="A127" s="2" t="n">
        <v>45052</v>
      </c>
      <c r="B127" s="3" t="n">
        <v>2023</v>
      </c>
      <c r="C127" s="3" t="n">
        <v>5</v>
      </c>
      <c r="D127" s="3" t="n">
        <v>18</v>
      </c>
      <c r="E127" s="3" t="inlineStr">
        <is>
          <t>S23-18</t>
        </is>
      </c>
    </row>
    <row r="128">
      <c r="A128" s="2" t="n">
        <v>45053</v>
      </c>
      <c r="B128" s="3" t="n">
        <v>2023</v>
      </c>
      <c r="C128" s="3" t="n">
        <v>5</v>
      </c>
      <c r="D128" s="3" t="n">
        <v>18</v>
      </c>
      <c r="E128" s="3" t="inlineStr">
        <is>
          <t>S23-18</t>
        </is>
      </c>
    </row>
    <row r="129">
      <c r="A129" s="2" t="n">
        <v>45054</v>
      </c>
      <c r="B129" s="3" t="n">
        <v>2023</v>
      </c>
      <c r="C129" s="3" t="n">
        <v>5</v>
      </c>
      <c r="D129" s="3" t="n">
        <v>19</v>
      </c>
      <c r="E129" s="3" t="inlineStr">
        <is>
          <t>S23-19</t>
        </is>
      </c>
    </row>
    <row r="130">
      <c r="A130" s="2" t="n">
        <v>45055</v>
      </c>
      <c r="B130" s="3" t="n">
        <v>2023</v>
      </c>
      <c r="C130" s="3" t="n">
        <v>5</v>
      </c>
      <c r="D130" s="3" t="n">
        <v>19</v>
      </c>
      <c r="E130" s="3" t="inlineStr">
        <is>
          <t>S23-19</t>
        </is>
      </c>
    </row>
    <row r="131">
      <c r="A131" s="2" t="n">
        <v>45056</v>
      </c>
      <c r="B131" s="3" t="n">
        <v>2023</v>
      </c>
      <c r="C131" s="3" t="n">
        <v>5</v>
      </c>
      <c r="D131" s="3" t="n">
        <v>19</v>
      </c>
      <c r="E131" s="3" t="inlineStr">
        <is>
          <t>S23-19</t>
        </is>
      </c>
    </row>
    <row r="132">
      <c r="A132" s="2" t="n">
        <v>45057</v>
      </c>
      <c r="B132" s="3" t="n">
        <v>2023</v>
      </c>
      <c r="C132" s="3" t="n">
        <v>5</v>
      </c>
      <c r="D132" s="3" t="n">
        <v>19</v>
      </c>
      <c r="E132" s="3" t="inlineStr">
        <is>
          <t>S23-19</t>
        </is>
      </c>
    </row>
    <row r="133">
      <c r="A133" s="2" t="n">
        <v>45058</v>
      </c>
      <c r="B133" s="3" t="n">
        <v>2023</v>
      </c>
      <c r="C133" s="3" t="n">
        <v>5</v>
      </c>
      <c r="D133" s="3" t="n">
        <v>19</v>
      </c>
      <c r="E133" s="3" t="inlineStr">
        <is>
          <t>S23-19</t>
        </is>
      </c>
    </row>
    <row r="134">
      <c r="A134" s="2" t="n">
        <v>45059</v>
      </c>
      <c r="B134" s="3" t="n">
        <v>2023</v>
      </c>
      <c r="C134" s="3" t="n">
        <v>5</v>
      </c>
      <c r="D134" s="3" t="n">
        <v>19</v>
      </c>
      <c r="E134" s="3" t="inlineStr">
        <is>
          <t>S23-19</t>
        </is>
      </c>
    </row>
    <row r="135">
      <c r="A135" s="2" t="n">
        <v>45060</v>
      </c>
      <c r="B135" s="3" t="n">
        <v>2023</v>
      </c>
      <c r="C135" s="3" t="n">
        <v>5</v>
      </c>
      <c r="D135" s="3" t="n">
        <v>19</v>
      </c>
      <c r="E135" s="3" t="inlineStr">
        <is>
          <t>S23-19</t>
        </is>
      </c>
    </row>
    <row r="136">
      <c r="A136" s="2" t="n">
        <v>45061</v>
      </c>
      <c r="B136" s="3" t="n">
        <v>2023</v>
      </c>
      <c r="C136" s="3" t="n">
        <v>5</v>
      </c>
      <c r="D136" s="3" t="n">
        <v>20</v>
      </c>
      <c r="E136" s="3" t="inlineStr">
        <is>
          <t>S23-20</t>
        </is>
      </c>
    </row>
    <row r="137">
      <c r="A137" s="2" t="n">
        <v>45062</v>
      </c>
      <c r="B137" s="3" t="n">
        <v>2023</v>
      </c>
      <c r="C137" s="3" t="n">
        <v>5</v>
      </c>
      <c r="D137" s="3" t="n">
        <v>20</v>
      </c>
      <c r="E137" s="3" t="inlineStr">
        <is>
          <t>S23-20</t>
        </is>
      </c>
    </row>
    <row r="138">
      <c r="A138" s="2" t="n">
        <v>45063</v>
      </c>
      <c r="B138" s="3" t="n">
        <v>2023</v>
      </c>
      <c r="C138" s="3" t="n">
        <v>5</v>
      </c>
      <c r="D138" s="3" t="n">
        <v>20</v>
      </c>
      <c r="E138" s="3" t="inlineStr">
        <is>
          <t>S23-20</t>
        </is>
      </c>
    </row>
    <row r="139">
      <c r="A139" s="2" t="n">
        <v>45064</v>
      </c>
      <c r="B139" s="3" t="n">
        <v>2023</v>
      </c>
      <c r="C139" s="3" t="n">
        <v>5</v>
      </c>
      <c r="D139" s="3" t="n">
        <v>20</v>
      </c>
      <c r="E139" s="3" t="inlineStr">
        <is>
          <t>S23-20</t>
        </is>
      </c>
    </row>
    <row r="140">
      <c r="A140" s="2" t="n">
        <v>45065</v>
      </c>
      <c r="B140" s="3" t="n">
        <v>2023</v>
      </c>
      <c r="C140" s="3" t="n">
        <v>5</v>
      </c>
      <c r="D140" s="3" t="n">
        <v>20</v>
      </c>
      <c r="E140" s="3" t="inlineStr">
        <is>
          <t>S23-20</t>
        </is>
      </c>
    </row>
    <row r="141">
      <c r="A141" s="2" t="n">
        <v>45066</v>
      </c>
      <c r="B141" s="3" t="n">
        <v>2023</v>
      </c>
      <c r="C141" s="3" t="n">
        <v>5</v>
      </c>
      <c r="D141" s="3" t="n">
        <v>20</v>
      </c>
      <c r="E141" s="3" t="inlineStr">
        <is>
          <t>S23-20</t>
        </is>
      </c>
    </row>
    <row r="142">
      <c r="A142" s="2" t="n">
        <v>45067</v>
      </c>
      <c r="B142" s="3" t="n">
        <v>2023</v>
      </c>
      <c r="C142" s="3" t="n">
        <v>5</v>
      </c>
      <c r="D142" s="3" t="n">
        <v>20</v>
      </c>
      <c r="E142" s="3" t="inlineStr">
        <is>
          <t>S23-20</t>
        </is>
      </c>
    </row>
    <row r="143">
      <c r="A143" s="2" t="n">
        <v>45068</v>
      </c>
      <c r="B143" s="3" t="n">
        <v>2023</v>
      </c>
      <c r="C143" s="3" t="n">
        <v>5</v>
      </c>
      <c r="D143" s="3" t="n">
        <v>21</v>
      </c>
      <c r="E143" s="3" t="inlineStr">
        <is>
          <t>S23-21</t>
        </is>
      </c>
    </row>
    <row r="144">
      <c r="A144" s="2" t="n">
        <v>45069</v>
      </c>
      <c r="B144" s="3" t="n">
        <v>2023</v>
      </c>
      <c r="C144" s="3" t="n">
        <v>5</v>
      </c>
      <c r="D144" s="3" t="n">
        <v>21</v>
      </c>
      <c r="E144" s="3" t="inlineStr">
        <is>
          <t>S23-21</t>
        </is>
      </c>
    </row>
    <row r="145">
      <c r="A145" s="2" t="n">
        <v>45070</v>
      </c>
      <c r="B145" s="3" t="n">
        <v>2023</v>
      </c>
      <c r="C145" s="3" t="n">
        <v>5</v>
      </c>
      <c r="D145" s="3" t="n">
        <v>21</v>
      </c>
      <c r="E145" s="3" t="inlineStr">
        <is>
          <t>S23-21</t>
        </is>
      </c>
    </row>
    <row r="146">
      <c r="A146" s="2" t="n">
        <v>45071</v>
      </c>
      <c r="B146" s="3" t="n">
        <v>2023</v>
      </c>
      <c r="C146" s="3" t="n">
        <v>5</v>
      </c>
      <c r="D146" s="3" t="n">
        <v>21</v>
      </c>
      <c r="E146" s="3" t="inlineStr">
        <is>
          <t>S23-21</t>
        </is>
      </c>
    </row>
    <row r="147">
      <c r="A147" s="2" t="n">
        <v>45072</v>
      </c>
      <c r="B147" s="3" t="n">
        <v>2023</v>
      </c>
      <c r="C147" s="3" t="n">
        <v>5</v>
      </c>
      <c r="D147" s="3" t="n">
        <v>21</v>
      </c>
      <c r="E147" s="3" t="inlineStr">
        <is>
          <t>S23-21</t>
        </is>
      </c>
    </row>
    <row r="148">
      <c r="A148" s="2" t="n">
        <v>45073</v>
      </c>
      <c r="B148" s="3" t="n">
        <v>2023</v>
      </c>
      <c r="C148" s="3" t="n">
        <v>5</v>
      </c>
      <c r="D148" s="3" t="n">
        <v>21</v>
      </c>
      <c r="E148" s="3" t="inlineStr">
        <is>
          <t>S23-21</t>
        </is>
      </c>
    </row>
    <row r="149">
      <c r="A149" s="2" t="n">
        <v>45074</v>
      </c>
      <c r="B149" s="3" t="n">
        <v>2023</v>
      </c>
      <c r="C149" s="3" t="n">
        <v>5</v>
      </c>
      <c r="D149" s="3" t="n">
        <v>21</v>
      </c>
      <c r="E149" s="3" t="inlineStr">
        <is>
          <t>S23-21</t>
        </is>
      </c>
    </row>
    <row r="150">
      <c r="A150" s="2" t="n">
        <v>45075</v>
      </c>
      <c r="B150" s="3" t="n">
        <v>2023</v>
      </c>
      <c r="C150" s="3" t="n">
        <v>5</v>
      </c>
      <c r="D150" s="3" t="n">
        <v>22</v>
      </c>
      <c r="E150" s="3" t="inlineStr">
        <is>
          <t>S23-22</t>
        </is>
      </c>
    </row>
    <row r="151">
      <c r="A151" s="2" t="n">
        <v>45076</v>
      </c>
      <c r="B151" s="3" t="n">
        <v>2023</v>
      </c>
      <c r="C151" s="3" t="n">
        <v>5</v>
      </c>
      <c r="D151" s="3" t="n">
        <v>22</v>
      </c>
      <c r="E151" s="3" t="inlineStr">
        <is>
          <t>S23-22</t>
        </is>
      </c>
    </row>
    <row r="152">
      <c r="A152" s="2" t="n">
        <v>45077</v>
      </c>
      <c r="B152" s="3" t="n">
        <v>2023</v>
      </c>
      <c r="C152" s="3" t="n">
        <v>5</v>
      </c>
      <c r="D152" s="3" t="n">
        <v>22</v>
      </c>
      <c r="E152" s="3" t="inlineStr">
        <is>
          <t>S23-22</t>
        </is>
      </c>
    </row>
    <row r="153">
      <c r="A153" s="2" t="n">
        <v>45078</v>
      </c>
      <c r="B153" s="3" t="n">
        <v>2023</v>
      </c>
      <c r="C153" s="3" t="n">
        <v>6</v>
      </c>
      <c r="D153" s="3" t="n">
        <v>22</v>
      </c>
      <c r="E153" s="3" t="inlineStr">
        <is>
          <t>S23-22</t>
        </is>
      </c>
    </row>
    <row r="154">
      <c r="A154" s="2" t="n">
        <v>45079</v>
      </c>
      <c r="B154" s="3" t="n">
        <v>2023</v>
      </c>
      <c r="C154" s="3" t="n">
        <v>6</v>
      </c>
      <c r="D154" s="3" t="n">
        <v>22</v>
      </c>
      <c r="E154" s="3" t="inlineStr">
        <is>
          <t>S23-22</t>
        </is>
      </c>
    </row>
    <row r="155">
      <c r="A155" s="2" t="n">
        <v>45080</v>
      </c>
      <c r="B155" s="3" t="n">
        <v>2023</v>
      </c>
      <c r="C155" s="3" t="n">
        <v>6</v>
      </c>
      <c r="D155" s="3" t="n">
        <v>22</v>
      </c>
      <c r="E155" s="3" t="inlineStr">
        <is>
          <t>S23-22</t>
        </is>
      </c>
    </row>
    <row r="156">
      <c r="A156" s="2" t="n">
        <v>45081</v>
      </c>
      <c r="B156" s="3" t="n">
        <v>2023</v>
      </c>
      <c r="C156" s="3" t="n">
        <v>6</v>
      </c>
      <c r="D156" s="3" t="n">
        <v>22</v>
      </c>
      <c r="E156" s="3" t="inlineStr">
        <is>
          <t>S23-22</t>
        </is>
      </c>
    </row>
    <row r="157">
      <c r="A157" s="2" t="n">
        <v>45082</v>
      </c>
      <c r="B157" s="3" t="n">
        <v>2023</v>
      </c>
      <c r="C157" s="3" t="n">
        <v>6</v>
      </c>
      <c r="D157" s="3" t="n">
        <v>23</v>
      </c>
      <c r="E157" s="3" t="inlineStr">
        <is>
          <t>S23-23</t>
        </is>
      </c>
    </row>
    <row r="158">
      <c r="A158" s="2" t="n">
        <v>45083</v>
      </c>
      <c r="B158" s="3" t="n">
        <v>2023</v>
      </c>
      <c r="C158" s="3" t="n">
        <v>6</v>
      </c>
      <c r="D158" s="3" t="n">
        <v>23</v>
      </c>
      <c r="E158" s="3" t="inlineStr">
        <is>
          <t>S23-23</t>
        </is>
      </c>
    </row>
    <row r="159">
      <c r="A159" s="2" t="n">
        <v>45084</v>
      </c>
      <c r="B159" s="3" t="n">
        <v>2023</v>
      </c>
      <c r="C159" s="3" t="n">
        <v>6</v>
      </c>
      <c r="D159" s="3" t="n">
        <v>23</v>
      </c>
      <c r="E159" s="3" t="inlineStr">
        <is>
          <t>S23-23</t>
        </is>
      </c>
    </row>
    <row r="160">
      <c r="A160" s="2" t="n">
        <v>45085</v>
      </c>
      <c r="B160" s="3" t="n">
        <v>2023</v>
      </c>
      <c r="C160" s="3" t="n">
        <v>6</v>
      </c>
      <c r="D160" s="3" t="n">
        <v>23</v>
      </c>
      <c r="E160" s="3" t="inlineStr">
        <is>
          <t>S23-23</t>
        </is>
      </c>
    </row>
    <row r="161">
      <c r="A161" s="2" t="n">
        <v>45086</v>
      </c>
      <c r="B161" s="3" t="n">
        <v>2023</v>
      </c>
      <c r="C161" s="3" t="n">
        <v>6</v>
      </c>
      <c r="D161" s="3" t="n">
        <v>23</v>
      </c>
      <c r="E161" s="3" t="inlineStr">
        <is>
          <t>S23-23</t>
        </is>
      </c>
    </row>
    <row r="162">
      <c r="A162" s="2" t="n">
        <v>45087</v>
      </c>
      <c r="B162" s="3" t="n">
        <v>2023</v>
      </c>
      <c r="C162" s="3" t="n">
        <v>6</v>
      </c>
      <c r="D162" s="3" t="n">
        <v>23</v>
      </c>
      <c r="E162" s="3" t="inlineStr">
        <is>
          <t>S23-23</t>
        </is>
      </c>
    </row>
    <row r="163">
      <c r="A163" s="2" t="n">
        <v>45088</v>
      </c>
      <c r="B163" s="3" t="n">
        <v>2023</v>
      </c>
      <c r="C163" s="3" t="n">
        <v>6</v>
      </c>
      <c r="D163" s="3" t="n">
        <v>23</v>
      </c>
      <c r="E163" s="3" t="inlineStr">
        <is>
          <t>S23-23</t>
        </is>
      </c>
    </row>
    <row r="164">
      <c r="A164" s="2" t="n">
        <v>45089</v>
      </c>
      <c r="B164" s="3" t="n">
        <v>2023</v>
      </c>
      <c r="C164" s="3" t="n">
        <v>6</v>
      </c>
      <c r="D164" s="3" t="n">
        <v>24</v>
      </c>
      <c r="E164" s="3" t="inlineStr">
        <is>
          <t>S23-24</t>
        </is>
      </c>
    </row>
    <row r="165">
      <c r="A165" s="2" t="n">
        <v>45090</v>
      </c>
      <c r="B165" s="3" t="n">
        <v>2023</v>
      </c>
      <c r="C165" s="3" t="n">
        <v>6</v>
      </c>
      <c r="D165" s="3" t="n">
        <v>24</v>
      </c>
      <c r="E165" s="3" t="inlineStr">
        <is>
          <t>S23-24</t>
        </is>
      </c>
    </row>
    <row r="166">
      <c r="A166" s="2" t="n">
        <v>45091</v>
      </c>
      <c r="B166" s="3" t="n">
        <v>2023</v>
      </c>
      <c r="C166" s="3" t="n">
        <v>6</v>
      </c>
      <c r="D166" s="3" t="n">
        <v>24</v>
      </c>
      <c r="E166" s="3" t="inlineStr">
        <is>
          <t>S23-24</t>
        </is>
      </c>
    </row>
    <row r="167">
      <c r="A167" s="2" t="n">
        <v>45092</v>
      </c>
      <c r="B167" s="3" t="n">
        <v>2023</v>
      </c>
      <c r="C167" s="3" t="n">
        <v>6</v>
      </c>
      <c r="D167" s="3" t="n">
        <v>24</v>
      </c>
      <c r="E167" s="3" t="inlineStr">
        <is>
          <t>S23-24</t>
        </is>
      </c>
    </row>
    <row r="168">
      <c r="A168" s="2" t="n">
        <v>45093</v>
      </c>
      <c r="B168" s="3" t="n">
        <v>2023</v>
      </c>
      <c r="C168" s="3" t="n">
        <v>6</v>
      </c>
      <c r="D168" s="3" t="n">
        <v>24</v>
      </c>
      <c r="E168" s="3" t="inlineStr">
        <is>
          <t>S23-24</t>
        </is>
      </c>
    </row>
    <row r="169">
      <c r="A169" s="2" t="n">
        <v>45094</v>
      </c>
      <c r="B169" s="3" t="n">
        <v>2023</v>
      </c>
      <c r="C169" s="3" t="n">
        <v>6</v>
      </c>
      <c r="D169" s="3" t="n">
        <v>24</v>
      </c>
      <c r="E169" s="3" t="inlineStr">
        <is>
          <t>S23-24</t>
        </is>
      </c>
    </row>
    <row r="170">
      <c r="A170" s="2" t="n">
        <v>45095</v>
      </c>
      <c r="B170" s="3" t="n">
        <v>2023</v>
      </c>
      <c r="C170" s="3" t="n">
        <v>6</v>
      </c>
      <c r="D170" s="3" t="n">
        <v>24</v>
      </c>
      <c r="E170" s="3" t="inlineStr">
        <is>
          <t>S23-24</t>
        </is>
      </c>
    </row>
    <row r="171">
      <c r="A171" s="2" t="n">
        <v>45096</v>
      </c>
      <c r="B171" s="3" t="n">
        <v>2023</v>
      </c>
      <c r="C171" s="3" t="n">
        <v>6</v>
      </c>
      <c r="D171" s="3" t="n">
        <v>25</v>
      </c>
      <c r="E171" s="3" t="inlineStr">
        <is>
          <t>S23-25</t>
        </is>
      </c>
    </row>
    <row r="172">
      <c r="A172" s="2" t="n">
        <v>45097</v>
      </c>
      <c r="B172" s="3" t="n">
        <v>2023</v>
      </c>
      <c r="C172" s="3" t="n">
        <v>6</v>
      </c>
      <c r="D172" s="3" t="n">
        <v>25</v>
      </c>
      <c r="E172" s="3" t="inlineStr">
        <is>
          <t>S23-25</t>
        </is>
      </c>
    </row>
    <row r="173">
      <c r="A173" s="2" t="n">
        <v>45098</v>
      </c>
      <c r="B173" s="3" t="n">
        <v>2023</v>
      </c>
      <c r="C173" s="3" t="n">
        <v>6</v>
      </c>
      <c r="D173" s="3" t="n">
        <v>25</v>
      </c>
      <c r="E173" s="3" t="inlineStr">
        <is>
          <t>S23-25</t>
        </is>
      </c>
    </row>
    <row r="174">
      <c r="A174" s="2" t="n">
        <v>45099</v>
      </c>
      <c r="B174" s="3" t="n">
        <v>2023</v>
      </c>
      <c r="C174" s="3" t="n">
        <v>6</v>
      </c>
      <c r="D174" s="3" t="n">
        <v>25</v>
      </c>
      <c r="E174" s="3" t="inlineStr">
        <is>
          <t>S23-25</t>
        </is>
      </c>
    </row>
    <row r="175">
      <c r="A175" s="2" t="n">
        <v>45100</v>
      </c>
      <c r="B175" s="3" t="n">
        <v>2023</v>
      </c>
      <c r="C175" s="3" t="n">
        <v>6</v>
      </c>
      <c r="D175" s="3" t="n">
        <v>25</v>
      </c>
      <c r="E175" s="3" t="inlineStr">
        <is>
          <t>S23-25</t>
        </is>
      </c>
    </row>
    <row r="176">
      <c r="A176" s="2" t="n">
        <v>45101</v>
      </c>
      <c r="B176" s="3" t="n">
        <v>2023</v>
      </c>
      <c r="C176" s="3" t="n">
        <v>6</v>
      </c>
      <c r="D176" s="3" t="n">
        <v>25</v>
      </c>
      <c r="E176" s="3" t="inlineStr">
        <is>
          <t>S23-25</t>
        </is>
      </c>
    </row>
    <row r="177">
      <c r="A177" s="2" t="n">
        <v>45102</v>
      </c>
      <c r="B177" s="3" t="n">
        <v>2023</v>
      </c>
      <c r="C177" s="3" t="n">
        <v>6</v>
      </c>
      <c r="D177" s="3" t="n">
        <v>25</v>
      </c>
      <c r="E177" s="3" t="inlineStr">
        <is>
          <t>S23-25</t>
        </is>
      </c>
    </row>
    <row r="178">
      <c r="A178" s="2" t="n">
        <v>45103</v>
      </c>
      <c r="B178" s="3" t="n">
        <v>2023</v>
      </c>
      <c r="C178" s="3" t="n">
        <v>6</v>
      </c>
      <c r="D178" s="3" t="n">
        <v>26</v>
      </c>
      <c r="E178" s="3" t="inlineStr">
        <is>
          <t>S23-26</t>
        </is>
      </c>
    </row>
    <row r="179">
      <c r="A179" s="2" t="n">
        <v>45104</v>
      </c>
      <c r="B179" s="3" t="n">
        <v>2023</v>
      </c>
      <c r="C179" s="3" t="n">
        <v>6</v>
      </c>
      <c r="D179" s="3" t="n">
        <v>26</v>
      </c>
      <c r="E179" s="3" t="inlineStr">
        <is>
          <t>S23-26</t>
        </is>
      </c>
    </row>
    <row r="180">
      <c r="A180" s="2" t="n">
        <v>45105</v>
      </c>
      <c r="B180" s="3" t="n">
        <v>2023</v>
      </c>
      <c r="C180" s="3" t="n">
        <v>6</v>
      </c>
      <c r="D180" s="3" t="n">
        <v>26</v>
      </c>
      <c r="E180" s="3" t="inlineStr">
        <is>
          <t>S23-26</t>
        </is>
      </c>
    </row>
    <row r="181">
      <c r="A181" s="2" t="n">
        <v>45106</v>
      </c>
      <c r="B181" s="3" t="n">
        <v>2023</v>
      </c>
      <c r="C181" s="3" t="n">
        <v>6</v>
      </c>
      <c r="D181" s="3" t="n">
        <v>26</v>
      </c>
      <c r="E181" s="3" t="inlineStr">
        <is>
          <t>S23-26</t>
        </is>
      </c>
    </row>
    <row r="182">
      <c r="A182" s="2" t="n">
        <v>45107</v>
      </c>
      <c r="B182" s="3" t="n">
        <v>2023</v>
      </c>
      <c r="C182" s="3" t="n">
        <v>6</v>
      </c>
      <c r="D182" s="3" t="n">
        <v>26</v>
      </c>
      <c r="E182" s="3" t="inlineStr">
        <is>
          <t>S23-26</t>
        </is>
      </c>
    </row>
    <row r="183">
      <c r="A183" s="2" t="n">
        <v>45108</v>
      </c>
      <c r="B183" s="3" t="n">
        <v>2023</v>
      </c>
      <c r="C183" s="3" t="n">
        <v>7</v>
      </c>
      <c r="D183" s="3" t="n">
        <v>26</v>
      </c>
      <c r="E183" s="3" t="inlineStr">
        <is>
          <t>S23-26</t>
        </is>
      </c>
    </row>
    <row r="184">
      <c r="A184" s="2" t="n">
        <v>45109</v>
      </c>
      <c r="B184" s="3" t="n">
        <v>2023</v>
      </c>
      <c r="C184" s="3" t="n">
        <v>7</v>
      </c>
      <c r="D184" s="3" t="n">
        <v>26</v>
      </c>
      <c r="E184" s="3" t="inlineStr">
        <is>
          <t>S23-26</t>
        </is>
      </c>
    </row>
    <row r="185">
      <c r="A185" s="2" t="n">
        <v>45110</v>
      </c>
      <c r="B185" s="3" t="n">
        <v>2023</v>
      </c>
      <c r="C185" s="3" t="n">
        <v>7</v>
      </c>
      <c r="D185" s="3" t="n">
        <v>27</v>
      </c>
      <c r="E185" s="3" t="inlineStr">
        <is>
          <t>S23-27</t>
        </is>
      </c>
    </row>
    <row r="186">
      <c r="A186" s="2" t="n">
        <v>45111</v>
      </c>
      <c r="B186" s="3" t="n">
        <v>2023</v>
      </c>
      <c r="C186" s="3" t="n">
        <v>7</v>
      </c>
      <c r="D186" s="3" t="n">
        <v>27</v>
      </c>
      <c r="E186" s="3" t="inlineStr">
        <is>
          <t>S23-27</t>
        </is>
      </c>
    </row>
    <row r="187">
      <c r="A187" s="2" t="n">
        <v>45112</v>
      </c>
      <c r="B187" s="3" t="n">
        <v>2023</v>
      </c>
      <c r="C187" s="3" t="n">
        <v>7</v>
      </c>
      <c r="D187" s="3" t="n">
        <v>27</v>
      </c>
      <c r="E187" s="3" t="inlineStr">
        <is>
          <t>S23-27</t>
        </is>
      </c>
    </row>
    <row r="188">
      <c r="A188" s="2" t="n">
        <v>45113</v>
      </c>
      <c r="B188" s="3" t="n">
        <v>2023</v>
      </c>
      <c r="C188" s="3" t="n">
        <v>7</v>
      </c>
      <c r="D188" s="3" t="n">
        <v>27</v>
      </c>
      <c r="E188" s="3" t="inlineStr">
        <is>
          <t>S23-27</t>
        </is>
      </c>
    </row>
    <row r="189">
      <c r="A189" s="2" t="n">
        <v>45114</v>
      </c>
      <c r="B189" s="3" t="n">
        <v>2023</v>
      </c>
      <c r="C189" s="3" t="n">
        <v>7</v>
      </c>
      <c r="D189" s="3" t="n">
        <v>27</v>
      </c>
      <c r="E189" s="3" t="inlineStr">
        <is>
          <t>S23-27</t>
        </is>
      </c>
    </row>
    <row r="190">
      <c r="A190" s="2" t="n">
        <v>45115</v>
      </c>
      <c r="B190" s="3" t="n">
        <v>2023</v>
      </c>
      <c r="C190" s="3" t="n">
        <v>7</v>
      </c>
      <c r="D190" s="3" t="n">
        <v>27</v>
      </c>
      <c r="E190" s="3" t="inlineStr">
        <is>
          <t>S23-27</t>
        </is>
      </c>
    </row>
    <row r="191">
      <c r="A191" s="2" t="n">
        <v>45116</v>
      </c>
      <c r="B191" s="3" t="n">
        <v>2023</v>
      </c>
      <c r="C191" s="3" t="n">
        <v>7</v>
      </c>
      <c r="D191" s="3" t="n">
        <v>27</v>
      </c>
      <c r="E191" s="3" t="inlineStr">
        <is>
          <t>S23-27</t>
        </is>
      </c>
    </row>
    <row r="192">
      <c r="A192" s="2" t="n">
        <v>45117</v>
      </c>
      <c r="B192" s="3" t="n">
        <v>2023</v>
      </c>
      <c r="C192" s="3" t="n">
        <v>7</v>
      </c>
      <c r="D192" s="3" t="n">
        <v>28</v>
      </c>
      <c r="E192" s="3" t="inlineStr">
        <is>
          <t>S23-28</t>
        </is>
      </c>
    </row>
    <row r="193">
      <c r="A193" s="2" t="n">
        <v>45118</v>
      </c>
      <c r="B193" s="3" t="n">
        <v>2023</v>
      </c>
      <c r="C193" s="3" t="n">
        <v>7</v>
      </c>
      <c r="D193" s="3" t="n">
        <v>28</v>
      </c>
      <c r="E193" s="3" t="inlineStr">
        <is>
          <t>S23-28</t>
        </is>
      </c>
    </row>
    <row r="194">
      <c r="A194" s="2" t="n">
        <v>45119</v>
      </c>
      <c r="B194" s="3" t="n">
        <v>2023</v>
      </c>
      <c r="C194" s="3" t="n">
        <v>7</v>
      </c>
      <c r="D194" s="3" t="n">
        <v>28</v>
      </c>
      <c r="E194" s="3" t="inlineStr">
        <is>
          <t>S23-28</t>
        </is>
      </c>
    </row>
    <row r="195">
      <c r="A195" s="2" t="n">
        <v>45120</v>
      </c>
      <c r="B195" s="3" t="n">
        <v>2023</v>
      </c>
      <c r="C195" s="3" t="n">
        <v>7</v>
      </c>
      <c r="D195" s="3" t="n">
        <v>28</v>
      </c>
      <c r="E195" s="3" t="inlineStr">
        <is>
          <t>S23-28</t>
        </is>
      </c>
    </row>
    <row r="196">
      <c r="A196" s="2" t="n">
        <v>45121</v>
      </c>
      <c r="B196" s="3" t="n">
        <v>2023</v>
      </c>
      <c r="C196" s="3" t="n">
        <v>7</v>
      </c>
      <c r="D196" s="3" t="n">
        <v>28</v>
      </c>
      <c r="E196" s="3" t="inlineStr">
        <is>
          <t>S23-28</t>
        </is>
      </c>
    </row>
    <row r="197">
      <c r="A197" s="2" t="n">
        <v>45122</v>
      </c>
      <c r="B197" s="3" t="n">
        <v>2023</v>
      </c>
      <c r="C197" s="3" t="n">
        <v>7</v>
      </c>
      <c r="D197" s="3" t="n">
        <v>28</v>
      </c>
      <c r="E197" s="3" t="inlineStr">
        <is>
          <t>S23-28</t>
        </is>
      </c>
    </row>
    <row r="198">
      <c r="A198" s="2" t="n">
        <v>45123</v>
      </c>
      <c r="B198" s="3" t="n">
        <v>2023</v>
      </c>
      <c r="C198" s="3" t="n">
        <v>7</v>
      </c>
      <c r="D198" s="3" t="n">
        <v>28</v>
      </c>
      <c r="E198" s="3" t="inlineStr">
        <is>
          <t>S23-28</t>
        </is>
      </c>
    </row>
    <row r="199">
      <c r="A199" s="2" t="n">
        <v>45124</v>
      </c>
      <c r="B199" s="3" t="n">
        <v>2023</v>
      </c>
      <c r="C199" s="3" t="n">
        <v>7</v>
      </c>
      <c r="D199" s="3" t="n">
        <v>29</v>
      </c>
      <c r="E199" s="3" t="inlineStr">
        <is>
          <t>S23-29</t>
        </is>
      </c>
    </row>
    <row r="200">
      <c r="A200" s="2" t="n">
        <v>45125</v>
      </c>
      <c r="B200" s="3" t="n">
        <v>2023</v>
      </c>
      <c r="C200" s="3" t="n">
        <v>7</v>
      </c>
      <c r="D200" s="3" t="n">
        <v>29</v>
      </c>
      <c r="E200" s="3" t="inlineStr">
        <is>
          <t>S23-29</t>
        </is>
      </c>
    </row>
    <row r="201">
      <c r="A201" s="2" t="n">
        <v>45126</v>
      </c>
      <c r="B201" s="3" t="n">
        <v>2023</v>
      </c>
      <c r="C201" s="3" t="n">
        <v>7</v>
      </c>
      <c r="D201" s="3" t="n">
        <v>29</v>
      </c>
      <c r="E201" s="3" t="inlineStr">
        <is>
          <t>S23-29</t>
        </is>
      </c>
    </row>
    <row r="202">
      <c r="A202" s="2" t="n">
        <v>45127</v>
      </c>
      <c r="B202" s="3" t="n">
        <v>2023</v>
      </c>
      <c r="C202" s="3" t="n">
        <v>7</v>
      </c>
      <c r="D202" s="3" t="n">
        <v>29</v>
      </c>
      <c r="E202" s="3" t="inlineStr">
        <is>
          <t>S23-29</t>
        </is>
      </c>
    </row>
    <row r="203">
      <c r="A203" s="2" t="n">
        <v>45128</v>
      </c>
      <c r="B203" s="3" t="n">
        <v>2023</v>
      </c>
      <c r="C203" s="3" t="n">
        <v>7</v>
      </c>
      <c r="D203" s="3" t="n">
        <v>29</v>
      </c>
      <c r="E203" s="3" t="inlineStr">
        <is>
          <t>S23-29</t>
        </is>
      </c>
    </row>
    <row r="204">
      <c r="A204" s="2" t="n">
        <v>45129</v>
      </c>
      <c r="B204" s="3" t="n">
        <v>2023</v>
      </c>
      <c r="C204" s="3" t="n">
        <v>7</v>
      </c>
      <c r="D204" s="3" t="n">
        <v>29</v>
      </c>
      <c r="E204" s="3" t="inlineStr">
        <is>
          <t>S23-29</t>
        </is>
      </c>
    </row>
    <row r="205">
      <c r="A205" s="2" t="n">
        <v>45130</v>
      </c>
      <c r="B205" s="3" t="n">
        <v>2023</v>
      </c>
      <c r="C205" s="3" t="n">
        <v>7</v>
      </c>
      <c r="D205" s="3" t="n">
        <v>29</v>
      </c>
      <c r="E205" s="3" t="inlineStr">
        <is>
          <t>S23-29</t>
        </is>
      </c>
    </row>
    <row r="206">
      <c r="A206" s="2" t="n">
        <v>45131</v>
      </c>
      <c r="B206" s="3" t="n">
        <v>2023</v>
      </c>
      <c r="C206" s="3" t="n">
        <v>7</v>
      </c>
      <c r="D206" s="3" t="n">
        <v>30</v>
      </c>
      <c r="E206" s="3" t="inlineStr">
        <is>
          <t>S23-30</t>
        </is>
      </c>
    </row>
    <row r="207">
      <c r="A207" s="2" t="n">
        <v>45132</v>
      </c>
      <c r="B207" s="3" t="n">
        <v>2023</v>
      </c>
      <c r="C207" s="3" t="n">
        <v>7</v>
      </c>
      <c r="D207" s="3" t="n">
        <v>30</v>
      </c>
      <c r="E207" s="3" t="inlineStr">
        <is>
          <t>S23-30</t>
        </is>
      </c>
    </row>
    <row r="208">
      <c r="A208" s="2" t="n">
        <v>45133</v>
      </c>
      <c r="B208" s="3" t="n">
        <v>2023</v>
      </c>
      <c r="C208" s="3" t="n">
        <v>7</v>
      </c>
      <c r="D208" s="3" t="n">
        <v>30</v>
      </c>
      <c r="E208" s="3" t="inlineStr">
        <is>
          <t>S23-30</t>
        </is>
      </c>
    </row>
    <row r="209">
      <c r="A209" s="2" t="n">
        <v>45134</v>
      </c>
      <c r="B209" s="3" t="n">
        <v>2023</v>
      </c>
      <c r="C209" s="3" t="n">
        <v>7</v>
      </c>
      <c r="D209" s="3" t="n">
        <v>30</v>
      </c>
      <c r="E209" s="3" t="inlineStr">
        <is>
          <t>S23-30</t>
        </is>
      </c>
    </row>
    <row r="210">
      <c r="A210" s="2" t="n">
        <v>45135</v>
      </c>
      <c r="B210" s="3" t="n">
        <v>2023</v>
      </c>
      <c r="C210" s="3" t="n">
        <v>7</v>
      </c>
      <c r="D210" s="3" t="n">
        <v>30</v>
      </c>
      <c r="E210" s="3" t="inlineStr">
        <is>
          <t>S23-30</t>
        </is>
      </c>
    </row>
    <row r="211">
      <c r="A211" s="2" t="n">
        <v>45136</v>
      </c>
      <c r="B211" s="3" t="n">
        <v>2023</v>
      </c>
      <c r="C211" s="3" t="n">
        <v>7</v>
      </c>
      <c r="D211" s="3" t="n">
        <v>30</v>
      </c>
      <c r="E211" s="3" t="inlineStr">
        <is>
          <t>S23-30</t>
        </is>
      </c>
    </row>
    <row r="212">
      <c r="A212" s="2" t="n">
        <v>45137</v>
      </c>
      <c r="B212" s="3" t="n">
        <v>2023</v>
      </c>
      <c r="C212" s="3" t="n">
        <v>7</v>
      </c>
      <c r="D212" s="3" t="n">
        <v>30</v>
      </c>
      <c r="E212" s="3" t="inlineStr">
        <is>
          <t>S23-30</t>
        </is>
      </c>
    </row>
    <row r="213">
      <c r="A213" s="2" t="n">
        <v>45138</v>
      </c>
      <c r="B213" s="3" t="n">
        <v>2023</v>
      </c>
      <c r="C213" s="3" t="n">
        <v>7</v>
      </c>
      <c r="D213" s="3" t="n">
        <v>31</v>
      </c>
      <c r="E213" s="3" t="inlineStr">
        <is>
          <t>S23-31</t>
        </is>
      </c>
    </row>
    <row r="214">
      <c r="A214" s="2" t="n">
        <v>45139</v>
      </c>
      <c r="B214" s="3" t="n">
        <v>2023</v>
      </c>
      <c r="C214" s="3" t="n">
        <v>8</v>
      </c>
      <c r="D214" s="3" t="n">
        <v>31</v>
      </c>
      <c r="E214" s="3" t="inlineStr">
        <is>
          <t>S23-31</t>
        </is>
      </c>
    </row>
    <row r="215">
      <c r="A215" s="2" t="n">
        <v>45140</v>
      </c>
      <c r="B215" s="3" t="n">
        <v>2023</v>
      </c>
      <c r="C215" s="3" t="n">
        <v>8</v>
      </c>
      <c r="D215" s="3" t="n">
        <v>31</v>
      </c>
      <c r="E215" s="3" t="inlineStr">
        <is>
          <t>S23-31</t>
        </is>
      </c>
    </row>
    <row r="216">
      <c r="A216" s="2" t="n">
        <v>45141</v>
      </c>
      <c r="B216" s="3" t="n">
        <v>2023</v>
      </c>
      <c r="C216" s="3" t="n">
        <v>8</v>
      </c>
      <c r="D216" s="3" t="n">
        <v>31</v>
      </c>
      <c r="E216" s="3" t="inlineStr">
        <is>
          <t>S23-31</t>
        </is>
      </c>
    </row>
    <row r="217">
      <c r="A217" s="2" t="n">
        <v>45142</v>
      </c>
      <c r="B217" s="3" t="n">
        <v>2023</v>
      </c>
      <c r="C217" s="3" t="n">
        <v>8</v>
      </c>
      <c r="D217" s="3" t="n">
        <v>31</v>
      </c>
      <c r="E217" s="3" t="inlineStr">
        <is>
          <t>S23-31</t>
        </is>
      </c>
    </row>
    <row r="218">
      <c r="A218" s="2" t="n">
        <v>45143</v>
      </c>
      <c r="B218" s="3" t="n">
        <v>2023</v>
      </c>
      <c r="C218" s="3" t="n">
        <v>8</v>
      </c>
      <c r="D218" s="3" t="n">
        <v>31</v>
      </c>
      <c r="E218" s="3" t="inlineStr">
        <is>
          <t>S23-31</t>
        </is>
      </c>
    </row>
    <row r="219">
      <c r="A219" s="2" t="n">
        <v>45144</v>
      </c>
      <c r="B219" s="3" t="n">
        <v>2023</v>
      </c>
      <c r="C219" s="3" t="n">
        <v>8</v>
      </c>
      <c r="D219" s="3" t="n">
        <v>31</v>
      </c>
      <c r="E219" s="3" t="inlineStr">
        <is>
          <t>S23-31</t>
        </is>
      </c>
    </row>
    <row r="220">
      <c r="A220" s="2" t="n">
        <v>45145</v>
      </c>
      <c r="B220" s="3" t="n">
        <v>2023</v>
      </c>
      <c r="C220" s="3" t="n">
        <v>8</v>
      </c>
      <c r="D220" s="3" t="n">
        <v>32</v>
      </c>
      <c r="E220" s="3" t="inlineStr">
        <is>
          <t>S23-32</t>
        </is>
      </c>
    </row>
    <row r="221">
      <c r="A221" s="2" t="n">
        <v>45146</v>
      </c>
      <c r="B221" s="3" t="n">
        <v>2023</v>
      </c>
      <c r="C221" s="3" t="n">
        <v>8</v>
      </c>
      <c r="D221" s="3" t="n">
        <v>32</v>
      </c>
      <c r="E221" s="3" t="inlineStr">
        <is>
          <t>S23-32</t>
        </is>
      </c>
    </row>
    <row r="222">
      <c r="A222" s="2" t="n">
        <v>45147</v>
      </c>
      <c r="B222" s="3" t="n">
        <v>2023</v>
      </c>
      <c r="C222" s="3" t="n">
        <v>8</v>
      </c>
      <c r="D222" s="3" t="n">
        <v>32</v>
      </c>
      <c r="E222" s="3" t="inlineStr">
        <is>
          <t>S23-32</t>
        </is>
      </c>
    </row>
    <row r="223">
      <c r="A223" s="2" t="n">
        <v>45148</v>
      </c>
      <c r="B223" s="3" t="n">
        <v>2023</v>
      </c>
      <c r="C223" s="3" t="n">
        <v>8</v>
      </c>
      <c r="D223" s="3" t="n">
        <v>32</v>
      </c>
      <c r="E223" s="3" t="inlineStr">
        <is>
          <t>S23-32</t>
        </is>
      </c>
    </row>
    <row r="224">
      <c r="A224" s="2" t="n">
        <v>45149</v>
      </c>
      <c r="B224" s="3" t="n">
        <v>2023</v>
      </c>
      <c r="C224" s="3" t="n">
        <v>8</v>
      </c>
      <c r="D224" s="3" t="n">
        <v>32</v>
      </c>
      <c r="E224" s="3" t="inlineStr">
        <is>
          <t>S23-32</t>
        </is>
      </c>
    </row>
    <row r="225">
      <c r="A225" s="2" t="n">
        <v>45150</v>
      </c>
      <c r="B225" s="3" t="n">
        <v>2023</v>
      </c>
      <c r="C225" s="3" t="n">
        <v>8</v>
      </c>
      <c r="D225" s="3" t="n">
        <v>32</v>
      </c>
      <c r="E225" s="3" t="inlineStr">
        <is>
          <t>S23-32</t>
        </is>
      </c>
    </row>
    <row r="226">
      <c r="A226" s="2" t="n">
        <v>45151</v>
      </c>
      <c r="B226" s="3" t="n">
        <v>2023</v>
      </c>
      <c r="C226" s="3" t="n">
        <v>8</v>
      </c>
      <c r="D226" s="3" t="n">
        <v>32</v>
      </c>
      <c r="E226" s="3" t="inlineStr">
        <is>
          <t>S23-32</t>
        </is>
      </c>
    </row>
    <row r="227">
      <c r="A227" s="2" t="n">
        <v>45152</v>
      </c>
      <c r="B227" s="3" t="n">
        <v>2023</v>
      </c>
      <c r="C227" s="3" t="n">
        <v>8</v>
      </c>
      <c r="D227" s="3" t="n">
        <v>33</v>
      </c>
      <c r="E227" s="3" t="inlineStr">
        <is>
          <t>S23-33</t>
        </is>
      </c>
    </row>
    <row r="228">
      <c r="A228" s="2" t="n">
        <v>45153</v>
      </c>
      <c r="B228" s="3" t="n">
        <v>2023</v>
      </c>
      <c r="C228" s="3" t="n">
        <v>8</v>
      </c>
      <c r="D228" s="3" t="n">
        <v>33</v>
      </c>
      <c r="E228" s="3" t="inlineStr">
        <is>
          <t>S23-33</t>
        </is>
      </c>
    </row>
    <row r="229">
      <c r="A229" s="2" t="n">
        <v>45154</v>
      </c>
      <c r="B229" s="3" t="n">
        <v>2023</v>
      </c>
      <c r="C229" s="3" t="n">
        <v>8</v>
      </c>
      <c r="D229" s="3" t="n">
        <v>33</v>
      </c>
      <c r="E229" s="3" t="inlineStr">
        <is>
          <t>S23-33</t>
        </is>
      </c>
    </row>
    <row r="230">
      <c r="A230" s="2" t="n">
        <v>45155</v>
      </c>
      <c r="B230" s="3" t="n">
        <v>2023</v>
      </c>
      <c r="C230" s="3" t="n">
        <v>8</v>
      </c>
      <c r="D230" s="3" t="n">
        <v>33</v>
      </c>
      <c r="E230" s="3" t="inlineStr">
        <is>
          <t>S23-33</t>
        </is>
      </c>
    </row>
    <row r="231">
      <c r="A231" s="2" t="n">
        <v>45156</v>
      </c>
      <c r="B231" s="3" t="n">
        <v>2023</v>
      </c>
      <c r="C231" s="3" t="n">
        <v>8</v>
      </c>
      <c r="D231" s="3" t="n">
        <v>33</v>
      </c>
      <c r="E231" s="3" t="inlineStr">
        <is>
          <t>S23-33</t>
        </is>
      </c>
    </row>
    <row r="232">
      <c r="A232" s="2" t="n">
        <v>45157</v>
      </c>
      <c r="B232" s="3" t="n">
        <v>2023</v>
      </c>
      <c r="C232" s="3" t="n">
        <v>8</v>
      </c>
      <c r="D232" s="3" t="n">
        <v>33</v>
      </c>
      <c r="E232" s="3" t="inlineStr">
        <is>
          <t>S23-33</t>
        </is>
      </c>
    </row>
    <row r="233">
      <c r="A233" s="2" t="n">
        <v>45158</v>
      </c>
      <c r="B233" s="3" t="n">
        <v>2023</v>
      </c>
      <c r="C233" s="3" t="n">
        <v>8</v>
      </c>
      <c r="D233" s="3" t="n">
        <v>33</v>
      </c>
      <c r="E233" s="3" t="inlineStr">
        <is>
          <t>S23-33</t>
        </is>
      </c>
    </row>
    <row r="234">
      <c r="A234" s="2" t="n">
        <v>45159</v>
      </c>
      <c r="B234" s="3" t="n">
        <v>2023</v>
      </c>
      <c r="C234" s="3" t="n">
        <v>8</v>
      </c>
      <c r="D234" s="3" t="n">
        <v>34</v>
      </c>
      <c r="E234" s="3" t="inlineStr">
        <is>
          <t>S23-34</t>
        </is>
      </c>
    </row>
    <row r="235">
      <c r="A235" s="2" t="n">
        <v>45160</v>
      </c>
      <c r="B235" s="3" t="n">
        <v>2023</v>
      </c>
      <c r="C235" s="3" t="n">
        <v>8</v>
      </c>
      <c r="D235" s="3" t="n">
        <v>34</v>
      </c>
      <c r="E235" s="3" t="inlineStr">
        <is>
          <t>S23-34</t>
        </is>
      </c>
    </row>
    <row r="236">
      <c r="A236" s="2" t="n">
        <v>45161</v>
      </c>
      <c r="B236" s="3" t="n">
        <v>2023</v>
      </c>
      <c r="C236" s="3" t="n">
        <v>8</v>
      </c>
      <c r="D236" s="3" t="n">
        <v>34</v>
      </c>
      <c r="E236" s="3" t="inlineStr">
        <is>
          <t>S23-34</t>
        </is>
      </c>
    </row>
    <row r="237">
      <c r="A237" s="2" t="n">
        <v>45162</v>
      </c>
      <c r="B237" s="3" t="n">
        <v>2023</v>
      </c>
      <c r="C237" s="3" t="n">
        <v>8</v>
      </c>
      <c r="D237" s="3" t="n">
        <v>34</v>
      </c>
      <c r="E237" s="3" t="inlineStr">
        <is>
          <t>S23-34</t>
        </is>
      </c>
    </row>
    <row r="238">
      <c r="A238" s="2" t="n">
        <v>45163</v>
      </c>
      <c r="B238" s="3" t="n">
        <v>2023</v>
      </c>
      <c r="C238" s="3" t="n">
        <v>8</v>
      </c>
      <c r="D238" s="3" t="n">
        <v>34</v>
      </c>
      <c r="E238" s="3" t="inlineStr">
        <is>
          <t>S23-34</t>
        </is>
      </c>
    </row>
    <row r="239">
      <c r="A239" s="2" t="n">
        <v>45164</v>
      </c>
      <c r="B239" s="3" t="n">
        <v>2023</v>
      </c>
      <c r="C239" s="3" t="n">
        <v>8</v>
      </c>
      <c r="D239" s="3" t="n">
        <v>34</v>
      </c>
      <c r="E239" s="3" t="inlineStr">
        <is>
          <t>S23-34</t>
        </is>
      </c>
    </row>
    <row r="240">
      <c r="A240" s="2" t="n">
        <v>45165</v>
      </c>
      <c r="B240" s="3" t="n">
        <v>2023</v>
      </c>
      <c r="C240" s="3" t="n">
        <v>8</v>
      </c>
      <c r="D240" s="3" t="n">
        <v>34</v>
      </c>
      <c r="E240" s="3" t="inlineStr">
        <is>
          <t>S23-34</t>
        </is>
      </c>
    </row>
    <row r="241">
      <c r="A241" s="2" t="n">
        <v>45166</v>
      </c>
      <c r="B241" s="3" t="n">
        <v>2023</v>
      </c>
      <c r="C241" s="3" t="n">
        <v>8</v>
      </c>
      <c r="D241" s="3" t="n">
        <v>35</v>
      </c>
      <c r="E241" s="3" t="inlineStr">
        <is>
          <t>S23-35</t>
        </is>
      </c>
    </row>
    <row r="242">
      <c r="A242" s="2" t="n">
        <v>45167</v>
      </c>
      <c r="B242" s="3" t="n">
        <v>2023</v>
      </c>
      <c r="C242" s="3" t="n">
        <v>8</v>
      </c>
      <c r="D242" s="3" t="n">
        <v>35</v>
      </c>
      <c r="E242" s="3" t="inlineStr">
        <is>
          <t>S23-35</t>
        </is>
      </c>
    </row>
    <row r="243">
      <c r="A243" s="2" t="n">
        <v>45168</v>
      </c>
      <c r="B243" s="3" t="n">
        <v>2023</v>
      </c>
      <c r="C243" s="3" t="n">
        <v>8</v>
      </c>
      <c r="D243" s="3" t="n">
        <v>35</v>
      </c>
      <c r="E243" s="3" t="inlineStr">
        <is>
          <t>S23-35</t>
        </is>
      </c>
    </row>
    <row r="244">
      <c r="A244" s="2" t="n">
        <v>45169</v>
      </c>
      <c r="B244" s="3" t="n">
        <v>2023</v>
      </c>
      <c r="C244" s="3" t="n">
        <v>8</v>
      </c>
      <c r="D244" s="3" t="n">
        <v>35</v>
      </c>
      <c r="E244" s="3" t="inlineStr">
        <is>
          <t>S23-35</t>
        </is>
      </c>
    </row>
    <row r="245">
      <c r="A245" s="2" t="n">
        <v>45170</v>
      </c>
      <c r="B245" s="3" t="n">
        <v>2023</v>
      </c>
      <c r="C245" s="3" t="n">
        <v>9</v>
      </c>
      <c r="D245" s="3" t="n">
        <v>35</v>
      </c>
      <c r="E245" s="3" t="inlineStr">
        <is>
          <t>S23-35</t>
        </is>
      </c>
    </row>
    <row r="246">
      <c r="A246" s="2" t="n">
        <v>45171</v>
      </c>
      <c r="B246" s="3" t="n">
        <v>2023</v>
      </c>
      <c r="C246" s="3" t="n">
        <v>9</v>
      </c>
      <c r="D246" s="3" t="n">
        <v>35</v>
      </c>
      <c r="E246" s="3" t="inlineStr">
        <is>
          <t>S23-35</t>
        </is>
      </c>
    </row>
    <row r="247">
      <c r="A247" s="2" t="n">
        <v>45172</v>
      </c>
      <c r="B247" s="3" t="n">
        <v>2023</v>
      </c>
      <c r="C247" s="3" t="n">
        <v>9</v>
      </c>
      <c r="D247" s="3" t="n">
        <v>35</v>
      </c>
      <c r="E247" s="3" t="inlineStr">
        <is>
          <t>S23-35</t>
        </is>
      </c>
    </row>
    <row r="248">
      <c r="A248" s="2" t="n">
        <v>45173</v>
      </c>
      <c r="B248" s="3" t="n">
        <v>2023</v>
      </c>
      <c r="C248" s="3" t="n">
        <v>9</v>
      </c>
      <c r="D248" s="3" t="n">
        <v>36</v>
      </c>
      <c r="E248" s="3" t="inlineStr">
        <is>
          <t>S23-36</t>
        </is>
      </c>
    </row>
    <row r="249">
      <c r="A249" s="2" t="n">
        <v>45174</v>
      </c>
      <c r="B249" s="3" t="n">
        <v>2023</v>
      </c>
      <c r="C249" s="3" t="n">
        <v>9</v>
      </c>
      <c r="D249" s="3" t="n">
        <v>36</v>
      </c>
      <c r="E249" s="3" t="inlineStr">
        <is>
          <t>S23-36</t>
        </is>
      </c>
    </row>
    <row r="250">
      <c r="A250" s="2" t="n">
        <v>45175</v>
      </c>
      <c r="B250" s="3" t="n">
        <v>2023</v>
      </c>
      <c r="C250" s="3" t="n">
        <v>9</v>
      </c>
      <c r="D250" s="3" t="n">
        <v>36</v>
      </c>
      <c r="E250" s="3" t="inlineStr">
        <is>
          <t>S23-36</t>
        </is>
      </c>
    </row>
    <row r="251">
      <c r="A251" s="2" t="n">
        <v>45176</v>
      </c>
      <c r="B251" s="3" t="n">
        <v>2023</v>
      </c>
      <c r="C251" s="3" t="n">
        <v>9</v>
      </c>
      <c r="D251" s="3" t="n">
        <v>36</v>
      </c>
      <c r="E251" s="3" t="inlineStr">
        <is>
          <t>S23-36</t>
        </is>
      </c>
    </row>
    <row r="252">
      <c r="A252" s="2" t="n">
        <v>45177</v>
      </c>
      <c r="B252" s="3" t="n">
        <v>2023</v>
      </c>
      <c r="C252" s="3" t="n">
        <v>9</v>
      </c>
      <c r="D252" s="3" t="n">
        <v>36</v>
      </c>
      <c r="E252" s="3" t="inlineStr">
        <is>
          <t>S23-36</t>
        </is>
      </c>
    </row>
    <row r="253">
      <c r="A253" s="2" t="n">
        <v>45178</v>
      </c>
      <c r="B253" s="3" t="n">
        <v>2023</v>
      </c>
      <c r="C253" s="3" t="n">
        <v>9</v>
      </c>
      <c r="D253" s="3" t="n">
        <v>36</v>
      </c>
      <c r="E253" s="3" t="inlineStr">
        <is>
          <t>S23-36</t>
        </is>
      </c>
    </row>
    <row r="254">
      <c r="A254" s="2" t="n">
        <v>45179</v>
      </c>
      <c r="B254" s="3" t="n">
        <v>2023</v>
      </c>
      <c r="C254" s="3" t="n">
        <v>9</v>
      </c>
      <c r="D254" s="3" t="n">
        <v>36</v>
      </c>
      <c r="E254" s="3" t="inlineStr">
        <is>
          <t>S23-36</t>
        </is>
      </c>
    </row>
    <row r="255">
      <c r="A255" s="2" t="n">
        <v>45180</v>
      </c>
      <c r="B255" s="3" t="n">
        <v>2023</v>
      </c>
      <c r="C255" s="3" t="n">
        <v>9</v>
      </c>
      <c r="D255" s="3" t="n">
        <v>37</v>
      </c>
      <c r="E255" s="3" t="inlineStr">
        <is>
          <t>S23-37</t>
        </is>
      </c>
    </row>
    <row r="256">
      <c r="A256" s="2" t="n">
        <v>45181</v>
      </c>
      <c r="B256" s="3" t="n">
        <v>2023</v>
      </c>
      <c r="C256" s="3" t="n">
        <v>9</v>
      </c>
      <c r="D256" s="3" t="n">
        <v>37</v>
      </c>
      <c r="E256" s="3" t="inlineStr">
        <is>
          <t>S23-37</t>
        </is>
      </c>
    </row>
    <row r="257">
      <c r="A257" s="2" t="n">
        <v>45182</v>
      </c>
      <c r="B257" s="3" t="n">
        <v>2023</v>
      </c>
      <c r="C257" s="3" t="n">
        <v>9</v>
      </c>
      <c r="D257" s="3" t="n">
        <v>37</v>
      </c>
      <c r="E257" s="3" t="inlineStr">
        <is>
          <t>S23-37</t>
        </is>
      </c>
    </row>
    <row r="258">
      <c r="A258" s="2" t="n">
        <v>45183</v>
      </c>
      <c r="B258" s="3" t="n">
        <v>2023</v>
      </c>
      <c r="C258" s="3" t="n">
        <v>9</v>
      </c>
      <c r="D258" s="3" t="n">
        <v>37</v>
      </c>
      <c r="E258" s="3" t="inlineStr">
        <is>
          <t>S23-37</t>
        </is>
      </c>
    </row>
    <row r="259">
      <c r="A259" s="2" t="n">
        <v>45184</v>
      </c>
      <c r="B259" s="3" t="n">
        <v>2023</v>
      </c>
      <c r="C259" s="3" t="n">
        <v>9</v>
      </c>
      <c r="D259" s="3" t="n">
        <v>37</v>
      </c>
      <c r="E259" s="3" t="inlineStr">
        <is>
          <t>S23-37</t>
        </is>
      </c>
    </row>
    <row r="260">
      <c r="A260" s="2" t="n">
        <v>45185</v>
      </c>
      <c r="B260" s="3" t="n">
        <v>2023</v>
      </c>
      <c r="C260" s="3" t="n">
        <v>9</v>
      </c>
      <c r="D260" s="3" t="n">
        <v>37</v>
      </c>
      <c r="E260" s="3" t="inlineStr">
        <is>
          <t>S23-37</t>
        </is>
      </c>
    </row>
    <row r="261">
      <c r="A261" s="2" t="n">
        <v>45186</v>
      </c>
      <c r="B261" s="3" t="n">
        <v>2023</v>
      </c>
      <c r="C261" s="3" t="n">
        <v>9</v>
      </c>
      <c r="D261" s="3" t="n">
        <v>37</v>
      </c>
      <c r="E261" s="3" t="inlineStr">
        <is>
          <t>S23-37</t>
        </is>
      </c>
    </row>
    <row r="262">
      <c r="A262" s="2" t="n">
        <v>45187</v>
      </c>
      <c r="B262" s="3" t="n">
        <v>2023</v>
      </c>
      <c r="C262" s="3" t="n">
        <v>9</v>
      </c>
      <c r="D262" s="3" t="n">
        <v>38</v>
      </c>
      <c r="E262" s="3" t="inlineStr">
        <is>
          <t>S23-38</t>
        </is>
      </c>
    </row>
    <row r="263">
      <c r="A263" s="2" t="n">
        <v>45188</v>
      </c>
      <c r="B263" s="3" t="n">
        <v>2023</v>
      </c>
      <c r="C263" s="3" t="n">
        <v>9</v>
      </c>
      <c r="D263" s="3" t="n">
        <v>38</v>
      </c>
      <c r="E263" s="3" t="inlineStr">
        <is>
          <t>S23-38</t>
        </is>
      </c>
    </row>
    <row r="264">
      <c r="A264" s="2" t="n">
        <v>45189</v>
      </c>
      <c r="B264" s="3" t="n">
        <v>2023</v>
      </c>
      <c r="C264" s="3" t="n">
        <v>9</v>
      </c>
      <c r="D264" s="3" t="n">
        <v>38</v>
      </c>
      <c r="E264" s="3" t="inlineStr">
        <is>
          <t>S23-38</t>
        </is>
      </c>
    </row>
    <row r="265">
      <c r="A265" s="2" t="n">
        <v>45190</v>
      </c>
      <c r="B265" s="3" t="n">
        <v>2023</v>
      </c>
      <c r="C265" s="3" t="n">
        <v>9</v>
      </c>
      <c r="D265" s="3" t="n">
        <v>38</v>
      </c>
      <c r="E265" s="3" t="inlineStr">
        <is>
          <t>S23-38</t>
        </is>
      </c>
    </row>
    <row r="266">
      <c r="A266" s="2" t="n">
        <v>45191</v>
      </c>
      <c r="B266" s="3" t="n">
        <v>2023</v>
      </c>
      <c r="C266" s="3" t="n">
        <v>9</v>
      </c>
      <c r="D266" s="3" t="n">
        <v>38</v>
      </c>
      <c r="E266" s="3" t="inlineStr">
        <is>
          <t>S23-38</t>
        </is>
      </c>
    </row>
    <row r="267">
      <c r="A267" s="2" t="n">
        <v>45192</v>
      </c>
      <c r="B267" s="3" t="n">
        <v>2023</v>
      </c>
      <c r="C267" s="3" t="n">
        <v>9</v>
      </c>
      <c r="D267" s="3" t="n">
        <v>38</v>
      </c>
      <c r="E267" s="3" t="inlineStr">
        <is>
          <t>S23-38</t>
        </is>
      </c>
    </row>
    <row r="268">
      <c r="A268" s="2" t="n">
        <v>45193</v>
      </c>
      <c r="B268" s="3" t="n">
        <v>2023</v>
      </c>
      <c r="C268" s="3" t="n">
        <v>9</v>
      </c>
      <c r="D268" s="3" t="n">
        <v>38</v>
      </c>
      <c r="E268" s="3" t="inlineStr">
        <is>
          <t>S23-38</t>
        </is>
      </c>
    </row>
    <row r="269">
      <c r="A269" s="2" t="n">
        <v>45194</v>
      </c>
      <c r="B269" s="3" t="n">
        <v>2023</v>
      </c>
      <c r="C269" s="3" t="n">
        <v>9</v>
      </c>
      <c r="D269" s="3" t="n">
        <v>39</v>
      </c>
      <c r="E269" s="3" t="inlineStr">
        <is>
          <t>S23-39</t>
        </is>
      </c>
    </row>
    <row r="270">
      <c r="A270" s="2" t="n">
        <v>45195</v>
      </c>
      <c r="B270" s="3" t="n">
        <v>2023</v>
      </c>
      <c r="C270" s="3" t="n">
        <v>9</v>
      </c>
      <c r="D270" s="3" t="n">
        <v>39</v>
      </c>
      <c r="E270" s="3" t="inlineStr">
        <is>
          <t>S23-39</t>
        </is>
      </c>
    </row>
    <row r="271">
      <c r="A271" s="2" t="n">
        <v>45196</v>
      </c>
      <c r="B271" s="3" t="n">
        <v>2023</v>
      </c>
      <c r="C271" s="3" t="n">
        <v>9</v>
      </c>
      <c r="D271" s="3" t="n">
        <v>39</v>
      </c>
      <c r="E271" s="3" t="inlineStr">
        <is>
          <t>S23-39</t>
        </is>
      </c>
    </row>
    <row r="272">
      <c r="A272" s="2" t="n">
        <v>45197</v>
      </c>
      <c r="B272" s="3" t="n">
        <v>2023</v>
      </c>
      <c r="C272" s="3" t="n">
        <v>9</v>
      </c>
      <c r="D272" s="3" t="n">
        <v>39</v>
      </c>
      <c r="E272" s="3" t="inlineStr">
        <is>
          <t>S23-39</t>
        </is>
      </c>
    </row>
    <row r="273">
      <c r="A273" s="2" t="n">
        <v>45198</v>
      </c>
      <c r="B273" s="3" t="n">
        <v>2023</v>
      </c>
      <c r="C273" s="3" t="n">
        <v>9</v>
      </c>
      <c r="D273" s="3" t="n">
        <v>39</v>
      </c>
      <c r="E273" s="3" t="inlineStr">
        <is>
          <t>S23-39</t>
        </is>
      </c>
    </row>
    <row r="274">
      <c r="A274" s="2" t="n">
        <v>45199</v>
      </c>
      <c r="B274" s="3" t="n">
        <v>2023</v>
      </c>
      <c r="C274" s="3" t="n">
        <v>9</v>
      </c>
      <c r="D274" s="3" t="n">
        <v>39</v>
      </c>
      <c r="E274" s="3" t="inlineStr">
        <is>
          <t>S23-39</t>
        </is>
      </c>
    </row>
    <row r="275">
      <c r="A275" s="2" t="n">
        <v>45200</v>
      </c>
      <c r="B275" s="3" t="n">
        <v>2023</v>
      </c>
      <c r="C275" s="3" t="n">
        <v>10</v>
      </c>
      <c r="D275" s="3" t="n">
        <v>39</v>
      </c>
      <c r="E275" s="3" t="inlineStr">
        <is>
          <t>S23-39</t>
        </is>
      </c>
    </row>
    <row r="276">
      <c r="A276" s="2" t="n">
        <v>45201</v>
      </c>
      <c r="B276" s="3" t="n">
        <v>2023</v>
      </c>
      <c r="C276" s="3" t="n">
        <v>10</v>
      </c>
      <c r="D276" s="3" t="n">
        <v>40</v>
      </c>
      <c r="E276" s="3" t="inlineStr">
        <is>
          <t>S23-40</t>
        </is>
      </c>
    </row>
    <row r="277">
      <c r="A277" s="2" t="n">
        <v>45202</v>
      </c>
      <c r="B277" s="3" t="n">
        <v>2023</v>
      </c>
      <c r="C277" s="3" t="n">
        <v>10</v>
      </c>
      <c r="D277" s="3" t="n">
        <v>40</v>
      </c>
      <c r="E277" s="3" t="inlineStr">
        <is>
          <t>S23-40</t>
        </is>
      </c>
    </row>
    <row r="278">
      <c r="A278" s="2" t="n">
        <v>45203</v>
      </c>
      <c r="B278" s="3" t="n">
        <v>2023</v>
      </c>
      <c r="C278" s="3" t="n">
        <v>10</v>
      </c>
      <c r="D278" s="3" t="n">
        <v>40</v>
      </c>
      <c r="E278" s="3" t="inlineStr">
        <is>
          <t>S23-40</t>
        </is>
      </c>
    </row>
    <row r="279">
      <c r="A279" s="2" t="n">
        <v>45204</v>
      </c>
      <c r="B279" s="3" t="n">
        <v>2023</v>
      </c>
      <c r="C279" s="3" t="n">
        <v>10</v>
      </c>
      <c r="D279" s="3" t="n">
        <v>40</v>
      </c>
      <c r="E279" s="3" t="inlineStr">
        <is>
          <t>S23-40</t>
        </is>
      </c>
    </row>
    <row r="280">
      <c r="A280" s="2" t="n">
        <v>45205</v>
      </c>
      <c r="B280" s="3" t="n">
        <v>2023</v>
      </c>
      <c r="C280" s="3" t="n">
        <v>10</v>
      </c>
      <c r="D280" s="3" t="n">
        <v>40</v>
      </c>
      <c r="E280" s="3" t="inlineStr">
        <is>
          <t>S23-40</t>
        </is>
      </c>
    </row>
    <row r="281">
      <c r="A281" s="2" t="n">
        <v>45206</v>
      </c>
      <c r="B281" s="3" t="n">
        <v>2023</v>
      </c>
      <c r="C281" s="3" t="n">
        <v>10</v>
      </c>
      <c r="D281" s="3" t="n">
        <v>40</v>
      </c>
      <c r="E281" s="3" t="inlineStr">
        <is>
          <t>S23-40</t>
        </is>
      </c>
    </row>
    <row r="282">
      <c r="A282" s="2" t="n">
        <v>45207</v>
      </c>
      <c r="B282" s="3" t="n">
        <v>2023</v>
      </c>
      <c r="C282" s="3" t="n">
        <v>10</v>
      </c>
      <c r="D282" s="3" t="n">
        <v>40</v>
      </c>
      <c r="E282" s="3" t="inlineStr">
        <is>
          <t>S23-40</t>
        </is>
      </c>
    </row>
    <row r="283">
      <c r="A283" s="2" t="n">
        <v>45208</v>
      </c>
      <c r="B283" s="3" t="n">
        <v>2023</v>
      </c>
      <c r="C283" s="3" t="n">
        <v>10</v>
      </c>
      <c r="D283" s="3" t="n">
        <v>41</v>
      </c>
      <c r="E283" s="3" t="inlineStr">
        <is>
          <t>S23-41</t>
        </is>
      </c>
    </row>
    <row r="284">
      <c r="A284" s="2" t="n">
        <v>45209</v>
      </c>
      <c r="B284" s="3" t="n">
        <v>2023</v>
      </c>
      <c r="C284" s="3" t="n">
        <v>10</v>
      </c>
      <c r="D284" s="3" t="n">
        <v>41</v>
      </c>
      <c r="E284" s="3" t="inlineStr">
        <is>
          <t>S23-41</t>
        </is>
      </c>
    </row>
    <row r="285">
      <c r="A285" s="2" t="n">
        <v>45210</v>
      </c>
      <c r="B285" s="3" t="n">
        <v>2023</v>
      </c>
      <c r="C285" s="3" t="n">
        <v>10</v>
      </c>
      <c r="D285" s="3" t="n">
        <v>41</v>
      </c>
      <c r="E285" s="3" t="inlineStr">
        <is>
          <t>S23-41</t>
        </is>
      </c>
    </row>
    <row r="286">
      <c r="A286" s="2" t="n">
        <v>45211</v>
      </c>
      <c r="B286" s="3" t="n">
        <v>2023</v>
      </c>
      <c r="C286" s="3" t="n">
        <v>10</v>
      </c>
      <c r="D286" s="3" t="n">
        <v>41</v>
      </c>
      <c r="E286" s="3" t="inlineStr">
        <is>
          <t>S23-41</t>
        </is>
      </c>
    </row>
    <row r="287">
      <c r="A287" s="2" t="n">
        <v>45212</v>
      </c>
      <c r="B287" s="3" t="n">
        <v>2023</v>
      </c>
      <c r="C287" s="3" t="n">
        <v>10</v>
      </c>
      <c r="D287" s="3" t="n">
        <v>41</v>
      </c>
      <c r="E287" s="3" t="inlineStr">
        <is>
          <t>S23-41</t>
        </is>
      </c>
    </row>
    <row r="288">
      <c r="A288" s="2" t="n">
        <v>45213</v>
      </c>
      <c r="B288" s="3" t="n">
        <v>2023</v>
      </c>
      <c r="C288" s="3" t="n">
        <v>10</v>
      </c>
      <c r="D288" s="3" t="n">
        <v>41</v>
      </c>
      <c r="E288" s="3" t="inlineStr">
        <is>
          <t>S23-41</t>
        </is>
      </c>
    </row>
    <row r="289">
      <c r="A289" s="2" t="n">
        <v>45214</v>
      </c>
      <c r="B289" s="3" t="n">
        <v>2023</v>
      </c>
      <c r="C289" s="3" t="n">
        <v>10</v>
      </c>
      <c r="D289" s="3" t="n">
        <v>41</v>
      </c>
      <c r="E289" s="3" t="inlineStr">
        <is>
          <t>S23-41</t>
        </is>
      </c>
    </row>
    <row r="290">
      <c r="A290" s="2" t="n">
        <v>45215</v>
      </c>
      <c r="B290" s="3" t="n">
        <v>2023</v>
      </c>
      <c r="C290" s="3" t="n">
        <v>10</v>
      </c>
      <c r="D290" s="3" t="n">
        <v>42</v>
      </c>
      <c r="E290" s="3" t="inlineStr">
        <is>
          <t>S23-42</t>
        </is>
      </c>
    </row>
    <row r="291">
      <c r="A291" s="2" t="n">
        <v>45216</v>
      </c>
      <c r="B291" s="3" t="n">
        <v>2023</v>
      </c>
      <c r="C291" s="3" t="n">
        <v>10</v>
      </c>
      <c r="D291" s="3" t="n">
        <v>42</v>
      </c>
      <c r="E291" s="3" t="inlineStr">
        <is>
          <t>S23-42</t>
        </is>
      </c>
    </row>
    <row r="292">
      <c r="A292" s="2" t="n">
        <v>45217</v>
      </c>
      <c r="B292" s="3" t="n">
        <v>2023</v>
      </c>
      <c r="C292" s="3" t="n">
        <v>10</v>
      </c>
      <c r="D292" s="3" t="n">
        <v>42</v>
      </c>
      <c r="E292" s="3" t="inlineStr">
        <is>
          <t>S23-42</t>
        </is>
      </c>
    </row>
    <row r="293">
      <c r="A293" s="2" t="n">
        <v>45218</v>
      </c>
      <c r="B293" s="3" t="n">
        <v>2023</v>
      </c>
      <c r="C293" s="3" t="n">
        <v>10</v>
      </c>
      <c r="D293" s="3" t="n">
        <v>42</v>
      </c>
      <c r="E293" s="3" t="inlineStr">
        <is>
          <t>S23-42</t>
        </is>
      </c>
    </row>
    <row r="294">
      <c r="A294" s="2" t="n">
        <v>45219</v>
      </c>
      <c r="B294" s="3" t="n">
        <v>2023</v>
      </c>
      <c r="C294" s="3" t="n">
        <v>10</v>
      </c>
      <c r="D294" s="3" t="n">
        <v>42</v>
      </c>
      <c r="E294" s="3" t="inlineStr">
        <is>
          <t>S23-42</t>
        </is>
      </c>
    </row>
    <row r="295">
      <c r="A295" s="2" t="n">
        <v>45220</v>
      </c>
      <c r="B295" s="3" t="n">
        <v>2023</v>
      </c>
      <c r="C295" s="3" t="n">
        <v>10</v>
      </c>
      <c r="D295" s="3" t="n">
        <v>42</v>
      </c>
      <c r="E295" s="3" t="inlineStr">
        <is>
          <t>S23-42</t>
        </is>
      </c>
    </row>
    <row r="296">
      <c r="A296" s="2" t="n">
        <v>45221</v>
      </c>
      <c r="B296" s="3" t="n">
        <v>2023</v>
      </c>
      <c r="C296" s="3" t="n">
        <v>10</v>
      </c>
      <c r="D296" s="3" t="n">
        <v>42</v>
      </c>
      <c r="E296" s="3" t="inlineStr">
        <is>
          <t>S23-42</t>
        </is>
      </c>
    </row>
    <row r="297">
      <c r="A297" s="2" t="n">
        <v>45222</v>
      </c>
      <c r="B297" s="3" t="n">
        <v>2023</v>
      </c>
      <c r="C297" s="3" t="n">
        <v>10</v>
      </c>
      <c r="D297" s="3" t="n">
        <v>43</v>
      </c>
      <c r="E297" s="3" t="inlineStr">
        <is>
          <t>S23-43</t>
        </is>
      </c>
    </row>
    <row r="298">
      <c r="A298" s="2" t="n">
        <v>45223</v>
      </c>
      <c r="B298" s="3" t="n">
        <v>2023</v>
      </c>
      <c r="C298" s="3" t="n">
        <v>10</v>
      </c>
      <c r="D298" s="3" t="n">
        <v>43</v>
      </c>
      <c r="E298" s="3" t="inlineStr">
        <is>
          <t>S23-43</t>
        </is>
      </c>
    </row>
    <row r="299">
      <c r="A299" s="2" t="n">
        <v>45224</v>
      </c>
      <c r="B299" s="3" t="n">
        <v>2023</v>
      </c>
      <c r="C299" s="3" t="n">
        <v>10</v>
      </c>
      <c r="D299" s="3" t="n">
        <v>43</v>
      </c>
      <c r="E299" s="3" t="inlineStr">
        <is>
          <t>S23-43</t>
        </is>
      </c>
    </row>
    <row r="300">
      <c r="A300" s="2" t="n">
        <v>45225</v>
      </c>
      <c r="B300" s="3" t="n">
        <v>2023</v>
      </c>
      <c r="C300" s="3" t="n">
        <v>10</v>
      </c>
      <c r="D300" s="3" t="n">
        <v>43</v>
      </c>
      <c r="E300" s="3" t="inlineStr">
        <is>
          <t>S23-43</t>
        </is>
      </c>
    </row>
    <row r="301">
      <c r="A301" s="2" t="n">
        <v>45226</v>
      </c>
      <c r="B301" s="3" t="n">
        <v>2023</v>
      </c>
      <c r="C301" s="3" t="n">
        <v>10</v>
      </c>
      <c r="D301" s="3" t="n">
        <v>43</v>
      </c>
      <c r="E301" s="3" t="inlineStr">
        <is>
          <t>S23-43</t>
        </is>
      </c>
    </row>
    <row r="302">
      <c r="A302" s="2" t="n">
        <v>45227</v>
      </c>
      <c r="B302" s="3" t="n">
        <v>2023</v>
      </c>
      <c r="C302" s="3" t="n">
        <v>10</v>
      </c>
      <c r="D302" s="3" t="n">
        <v>43</v>
      </c>
      <c r="E302" s="3" t="inlineStr">
        <is>
          <t>S23-43</t>
        </is>
      </c>
    </row>
    <row r="303">
      <c r="A303" s="2" t="n">
        <v>45228</v>
      </c>
      <c r="B303" s="3" t="n">
        <v>2023</v>
      </c>
      <c r="C303" s="3" t="n">
        <v>10</v>
      </c>
      <c r="D303" s="3" t="n">
        <v>43</v>
      </c>
      <c r="E303" s="3" t="inlineStr">
        <is>
          <t>S23-43</t>
        </is>
      </c>
    </row>
    <row r="304">
      <c r="A304" s="2" t="n">
        <v>45229</v>
      </c>
      <c r="B304" s="3" t="n">
        <v>2023</v>
      </c>
      <c r="C304" s="3" t="n">
        <v>10</v>
      </c>
      <c r="D304" s="3" t="n">
        <v>44</v>
      </c>
      <c r="E304" s="3" t="inlineStr">
        <is>
          <t>S23-44</t>
        </is>
      </c>
    </row>
    <row r="305">
      <c r="A305" s="2" t="n">
        <v>45230</v>
      </c>
      <c r="B305" s="3" t="n">
        <v>2023</v>
      </c>
      <c r="C305" s="3" t="n">
        <v>10</v>
      </c>
      <c r="D305" s="3" t="n">
        <v>44</v>
      </c>
      <c r="E305" s="3" t="inlineStr">
        <is>
          <t>S23-44</t>
        </is>
      </c>
    </row>
    <row r="306">
      <c r="A306" s="2" t="n">
        <v>45231</v>
      </c>
      <c r="B306" s="3" t="n">
        <v>2023</v>
      </c>
      <c r="C306" s="3" t="n">
        <v>11</v>
      </c>
      <c r="D306" s="3" t="n">
        <v>44</v>
      </c>
      <c r="E306" s="3" t="inlineStr">
        <is>
          <t>S23-44</t>
        </is>
      </c>
    </row>
    <row r="307">
      <c r="A307" s="2" t="n">
        <v>45232</v>
      </c>
      <c r="B307" s="3" t="n">
        <v>2023</v>
      </c>
      <c r="C307" s="3" t="n">
        <v>11</v>
      </c>
      <c r="D307" s="3" t="n">
        <v>44</v>
      </c>
      <c r="E307" s="3" t="inlineStr">
        <is>
          <t>S23-44</t>
        </is>
      </c>
    </row>
    <row r="308">
      <c r="A308" s="2" t="n">
        <v>45233</v>
      </c>
      <c r="B308" s="3" t="n">
        <v>2023</v>
      </c>
      <c r="C308" s="3" t="n">
        <v>11</v>
      </c>
      <c r="D308" s="3" t="n">
        <v>44</v>
      </c>
      <c r="E308" s="3" t="inlineStr">
        <is>
          <t>S23-44</t>
        </is>
      </c>
    </row>
    <row r="309">
      <c r="A309" s="2" t="n">
        <v>45234</v>
      </c>
      <c r="B309" s="3" t="n">
        <v>2023</v>
      </c>
      <c r="C309" s="3" t="n">
        <v>11</v>
      </c>
      <c r="D309" s="3" t="n">
        <v>44</v>
      </c>
      <c r="E309" s="3" t="inlineStr">
        <is>
          <t>S23-44</t>
        </is>
      </c>
    </row>
    <row r="310">
      <c r="A310" s="2" t="n">
        <v>45235</v>
      </c>
      <c r="B310" s="3" t="n">
        <v>2023</v>
      </c>
      <c r="C310" s="3" t="n">
        <v>11</v>
      </c>
      <c r="D310" s="3" t="n">
        <v>44</v>
      </c>
      <c r="E310" s="3" t="inlineStr">
        <is>
          <t>S23-44</t>
        </is>
      </c>
    </row>
    <row r="311">
      <c r="A311" s="2" t="n">
        <v>45236</v>
      </c>
      <c r="B311" s="3" t="n">
        <v>2023</v>
      </c>
      <c r="C311" s="3" t="n">
        <v>11</v>
      </c>
      <c r="D311" s="3" t="n">
        <v>45</v>
      </c>
      <c r="E311" s="3" t="inlineStr">
        <is>
          <t>S23-45</t>
        </is>
      </c>
    </row>
    <row r="312">
      <c r="A312" s="2" t="n">
        <v>45237</v>
      </c>
      <c r="B312" s="3" t="n">
        <v>2023</v>
      </c>
      <c r="C312" s="3" t="n">
        <v>11</v>
      </c>
      <c r="D312" s="3" t="n">
        <v>45</v>
      </c>
      <c r="E312" s="3" t="inlineStr">
        <is>
          <t>S23-45</t>
        </is>
      </c>
    </row>
    <row r="313">
      <c r="A313" s="2" t="n">
        <v>45238</v>
      </c>
      <c r="B313" s="3" t="n">
        <v>2023</v>
      </c>
      <c r="C313" s="3" t="n">
        <v>11</v>
      </c>
      <c r="D313" s="3" t="n">
        <v>45</v>
      </c>
      <c r="E313" s="3" t="inlineStr">
        <is>
          <t>S23-45</t>
        </is>
      </c>
    </row>
    <row r="314">
      <c r="A314" s="2" t="n">
        <v>45239</v>
      </c>
      <c r="B314" s="3" t="n">
        <v>2023</v>
      </c>
      <c r="C314" s="3" t="n">
        <v>11</v>
      </c>
      <c r="D314" s="3" t="n">
        <v>45</v>
      </c>
      <c r="E314" s="3" t="inlineStr">
        <is>
          <t>S23-45</t>
        </is>
      </c>
    </row>
    <row r="315">
      <c r="A315" s="2" t="n">
        <v>45240</v>
      </c>
      <c r="B315" s="3" t="n">
        <v>2023</v>
      </c>
      <c r="C315" s="3" t="n">
        <v>11</v>
      </c>
      <c r="D315" s="3" t="n">
        <v>45</v>
      </c>
      <c r="E315" s="3" t="inlineStr">
        <is>
          <t>S23-45</t>
        </is>
      </c>
    </row>
    <row r="316">
      <c r="A316" s="2" t="n">
        <v>45241</v>
      </c>
      <c r="B316" s="3" t="n">
        <v>2023</v>
      </c>
      <c r="C316" s="3" t="n">
        <v>11</v>
      </c>
      <c r="D316" s="3" t="n">
        <v>45</v>
      </c>
      <c r="E316" s="3" t="inlineStr">
        <is>
          <t>S23-45</t>
        </is>
      </c>
    </row>
    <row r="317">
      <c r="A317" s="2" t="n">
        <v>45242</v>
      </c>
      <c r="B317" s="3" t="n">
        <v>2023</v>
      </c>
      <c r="C317" s="3" t="n">
        <v>11</v>
      </c>
      <c r="D317" s="3" t="n">
        <v>45</v>
      </c>
      <c r="E317" s="3" t="inlineStr">
        <is>
          <t>S23-45</t>
        </is>
      </c>
    </row>
    <row r="318">
      <c r="A318" s="2" t="n">
        <v>45243</v>
      </c>
      <c r="B318" s="3" t="n">
        <v>2023</v>
      </c>
      <c r="C318" s="3" t="n">
        <v>11</v>
      </c>
      <c r="D318" s="3" t="n">
        <v>46</v>
      </c>
      <c r="E318" s="3" t="inlineStr">
        <is>
          <t>S23-46</t>
        </is>
      </c>
    </row>
    <row r="319">
      <c r="A319" s="2" t="n">
        <v>45244</v>
      </c>
      <c r="B319" s="3" t="n">
        <v>2023</v>
      </c>
      <c r="C319" s="3" t="n">
        <v>11</v>
      </c>
      <c r="D319" s="3" t="n">
        <v>46</v>
      </c>
      <c r="E319" s="3" t="inlineStr">
        <is>
          <t>S23-46</t>
        </is>
      </c>
    </row>
    <row r="320">
      <c r="A320" s="2" t="n">
        <v>45245</v>
      </c>
      <c r="B320" s="3" t="n">
        <v>2023</v>
      </c>
      <c r="C320" s="3" t="n">
        <v>11</v>
      </c>
      <c r="D320" s="3" t="n">
        <v>46</v>
      </c>
      <c r="E320" s="3" t="inlineStr">
        <is>
          <t>S23-46</t>
        </is>
      </c>
    </row>
    <row r="321">
      <c r="A321" s="2" t="n">
        <v>45246</v>
      </c>
      <c r="B321" s="3" t="n">
        <v>2023</v>
      </c>
      <c r="C321" s="3" t="n">
        <v>11</v>
      </c>
      <c r="D321" s="3" t="n">
        <v>46</v>
      </c>
      <c r="E321" s="3" t="inlineStr">
        <is>
          <t>S23-46</t>
        </is>
      </c>
    </row>
    <row r="322">
      <c r="A322" s="2" t="n">
        <v>45247</v>
      </c>
      <c r="B322" s="3" t="n">
        <v>2023</v>
      </c>
      <c r="C322" s="3" t="n">
        <v>11</v>
      </c>
      <c r="D322" s="3" t="n">
        <v>46</v>
      </c>
      <c r="E322" s="3" t="inlineStr">
        <is>
          <t>S23-46</t>
        </is>
      </c>
    </row>
    <row r="323">
      <c r="A323" s="2" t="n">
        <v>45248</v>
      </c>
      <c r="B323" s="3" t="n">
        <v>2023</v>
      </c>
      <c r="C323" s="3" t="n">
        <v>11</v>
      </c>
      <c r="D323" s="3" t="n">
        <v>46</v>
      </c>
      <c r="E323" s="3" t="inlineStr">
        <is>
          <t>S23-46</t>
        </is>
      </c>
    </row>
    <row r="324">
      <c r="A324" s="2" t="n">
        <v>45249</v>
      </c>
      <c r="B324" s="3" t="n">
        <v>2023</v>
      </c>
      <c r="C324" s="3" t="n">
        <v>11</v>
      </c>
      <c r="D324" s="3" t="n">
        <v>46</v>
      </c>
      <c r="E324" s="3" t="inlineStr">
        <is>
          <t>S23-46</t>
        </is>
      </c>
    </row>
    <row r="325">
      <c r="A325" s="2" t="n">
        <v>45250</v>
      </c>
      <c r="B325" s="3" t="n">
        <v>2023</v>
      </c>
      <c r="C325" s="3" t="n">
        <v>11</v>
      </c>
      <c r="D325" s="3" t="n">
        <v>47</v>
      </c>
      <c r="E325" s="3" t="inlineStr">
        <is>
          <t>S23-47</t>
        </is>
      </c>
    </row>
    <row r="326">
      <c r="A326" s="2" t="n">
        <v>45251</v>
      </c>
      <c r="B326" s="3" t="n">
        <v>2023</v>
      </c>
      <c r="C326" s="3" t="n">
        <v>11</v>
      </c>
      <c r="D326" s="3" t="n">
        <v>47</v>
      </c>
      <c r="E326" s="3" t="inlineStr">
        <is>
          <t>S23-47</t>
        </is>
      </c>
    </row>
    <row r="327">
      <c r="A327" s="2" t="n">
        <v>45252</v>
      </c>
      <c r="B327" s="3" t="n">
        <v>2023</v>
      </c>
      <c r="C327" s="3" t="n">
        <v>11</v>
      </c>
      <c r="D327" s="3" t="n">
        <v>47</v>
      </c>
      <c r="E327" s="3" t="inlineStr">
        <is>
          <t>S23-47</t>
        </is>
      </c>
    </row>
    <row r="328">
      <c r="A328" s="2" t="n">
        <v>45253</v>
      </c>
      <c r="B328" s="3" t="n">
        <v>2023</v>
      </c>
      <c r="C328" s="3" t="n">
        <v>11</v>
      </c>
      <c r="D328" s="3" t="n">
        <v>47</v>
      </c>
      <c r="E328" s="3" t="inlineStr">
        <is>
          <t>S23-47</t>
        </is>
      </c>
    </row>
    <row r="329">
      <c r="A329" s="2" t="n">
        <v>45254</v>
      </c>
      <c r="B329" s="3" t="n">
        <v>2023</v>
      </c>
      <c r="C329" s="3" t="n">
        <v>11</v>
      </c>
      <c r="D329" s="3" t="n">
        <v>47</v>
      </c>
      <c r="E329" s="3" t="inlineStr">
        <is>
          <t>S23-47</t>
        </is>
      </c>
    </row>
    <row r="330">
      <c r="A330" s="2" t="n">
        <v>45255</v>
      </c>
      <c r="B330" s="3" t="n">
        <v>2023</v>
      </c>
      <c r="C330" s="3" t="n">
        <v>11</v>
      </c>
      <c r="D330" s="3" t="n">
        <v>47</v>
      </c>
      <c r="E330" s="3" t="inlineStr">
        <is>
          <t>S23-47</t>
        </is>
      </c>
    </row>
    <row r="331">
      <c r="A331" s="2" t="n">
        <v>45256</v>
      </c>
      <c r="B331" s="3" t="n">
        <v>2023</v>
      </c>
      <c r="C331" s="3" t="n">
        <v>11</v>
      </c>
      <c r="D331" s="3" t="n">
        <v>47</v>
      </c>
      <c r="E331" s="3" t="inlineStr">
        <is>
          <t>S23-47</t>
        </is>
      </c>
    </row>
    <row r="332">
      <c r="A332" s="2" t="n">
        <v>45257</v>
      </c>
      <c r="B332" s="3" t="n">
        <v>2023</v>
      </c>
      <c r="C332" s="3" t="n">
        <v>11</v>
      </c>
      <c r="D332" s="3" t="n">
        <v>48</v>
      </c>
      <c r="E332" s="3" t="inlineStr">
        <is>
          <t>S23-48</t>
        </is>
      </c>
    </row>
    <row r="333">
      <c r="A333" s="2" t="n">
        <v>45258</v>
      </c>
      <c r="B333" s="3" t="n">
        <v>2023</v>
      </c>
      <c r="C333" s="3" t="n">
        <v>11</v>
      </c>
      <c r="D333" s="3" t="n">
        <v>48</v>
      </c>
      <c r="E333" s="3" t="inlineStr">
        <is>
          <t>S23-48</t>
        </is>
      </c>
    </row>
    <row r="334">
      <c r="A334" s="2" t="n">
        <v>45259</v>
      </c>
      <c r="B334" s="3" t="n">
        <v>2023</v>
      </c>
      <c r="C334" s="3" t="n">
        <v>11</v>
      </c>
      <c r="D334" s="3" t="n">
        <v>48</v>
      </c>
      <c r="E334" s="3" t="inlineStr">
        <is>
          <t>S23-48</t>
        </is>
      </c>
    </row>
    <row r="335">
      <c r="A335" s="2" t="n">
        <v>45260</v>
      </c>
      <c r="B335" s="3" t="n">
        <v>2023</v>
      </c>
      <c r="C335" s="3" t="n">
        <v>11</v>
      </c>
      <c r="D335" s="3" t="n">
        <v>48</v>
      </c>
      <c r="E335" s="3" t="inlineStr">
        <is>
          <t>S23-48</t>
        </is>
      </c>
    </row>
    <row r="336">
      <c r="A336" s="2" t="n">
        <v>45261</v>
      </c>
      <c r="B336" s="3" t="n">
        <v>2023</v>
      </c>
      <c r="C336" s="3" t="n">
        <v>12</v>
      </c>
      <c r="D336" s="3" t="n">
        <v>48</v>
      </c>
      <c r="E336" s="3" t="inlineStr">
        <is>
          <t>S23-48</t>
        </is>
      </c>
    </row>
    <row r="337">
      <c r="A337" s="2" t="n">
        <v>45262</v>
      </c>
      <c r="B337" s="3" t="n">
        <v>2023</v>
      </c>
      <c r="C337" s="3" t="n">
        <v>12</v>
      </c>
      <c r="D337" s="3" t="n">
        <v>48</v>
      </c>
      <c r="E337" s="3" t="inlineStr">
        <is>
          <t>S23-48</t>
        </is>
      </c>
    </row>
    <row r="338">
      <c r="A338" s="2" t="n">
        <v>45263</v>
      </c>
      <c r="B338" s="3" t="n">
        <v>2023</v>
      </c>
      <c r="C338" s="3" t="n">
        <v>12</v>
      </c>
      <c r="D338" s="3" t="n">
        <v>48</v>
      </c>
      <c r="E338" s="3" t="inlineStr">
        <is>
          <t>S23-48</t>
        </is>
      </c>
    </row>
    <row r="339">
      <c r="A339" s="2" t="n">
        <v>45264</v>
      </c>
      <c r="B339" s="3" t="n">
        <v>2023</v>
      </c>
      <c r="C339" s="3" t="n">
        <v>12</v>
      </c>
      <c r="D339" s="3" t="n">
        <v>49</v>
      </c>
      <c r="E339" s="3" t="inlineStr">
        <is>
          <t>S23-49</t>
        </is>
      </c>
    </row>
    <row r="340">
      <c r="A340" s="2" t="n">
        <v>45265</v>
      </c>
      <c r="B340" s="3" t="n">
        <v>2023</v>
      </c>
      <c r="C340" s="3" t="n">
        <v>12</v>
      </c>
      <c r="D340" s="3" t="n">
        <v>49</v>
      </c>
      <c r="E340" s="3" t="inlineStr">
        <is>
          <t>S23-49</t>
        </is>
      </c>
    </row>
    <row r="341">
      <c r="A341" s="2" t="n">
        <v>45266</v>
      </c>
      <c r="B341" s="3" t="n">
        <v>2023</v>
      </c>
      <c r="C341" s="3" t="n">
        <v>12</v>
      </c>
      <c r="D341" s="3" t="n">
        <v>49</v>
      </c>
      <c r="E341" s="3" t="inlineStr">
        <is>
          <t>S23-49</t>
        </is>
      </c>
    </row>
    <row r="342">
      <c r="A342" s="2" t="n">
        <v>45267</v>
      </c>
      <c r="B342" s="3" t="n">
        <v>2023</v>
      </c>
      <c r="C342" s="3" t="n">
        <v>12</v>
      </c>
      <c r="D342" s="3" t="n">
        <v>49</v>
      </c>
      <c r="E342" s="3" t="inlineStr">
        <is>
          <t>S23-49</t>
        </is>
      </c>
    </row>
    <row r="343">
      <c r="A343" s="2" t="n">
        <v>45268</v>
      </c>
      <c r="B343" s="3" t="n">
        <v>2023</v>
      </c>
      <c r="C343" s="3" t="n">
        <v>12</v>
      </c>
      <c r="D343" s="3" t="n">
        <v>49</v>
      </c>
      <c r="E343" s="3" t="inlineStr">
        <is>
          <t>S23-49</t>
        </is>
      </c>
    </row>
    <row r="344">
      <c r="A344" s="2" t="n">
        <v>45269</v>
      </c>
      <c r="B344" s="3" t="n">
        <v>2023</v>
      </c>
      <c r="C344" s="3" t="n">
        <v>12</v>
      </c>
      <c r="D344" s="3" t="n">
        <v>49</v>
      </c>
      <c r="E344" s="3" t="inlineStr">
        <is>
          <t>S23-49</t>
        </is>
      </c>
    </row>
    <row r="345">
      <c r="A345" s="2" t="n">
        <v>45270</v>
      </c>
      <c r="B345" s="3" t="n">
        <v>2023</v>
      </c>
      <c r="C345" s="3" t="n">
        <v>12</v>
      </c>
      <c r="D345" s="3" t="n">
        <v>49</v>
      </c>
      <c r="E345" s="3" t="inlineStr">
        <is>
          <t>S23-49</t>
        </is>
      </c>
    </row>
    <row r="346">
      <c r="A346" s="2" t="n">
        <v>45271</v>
      </c>
      <c r="B346" s="3" t="n">
        <v>2023</v>
      </c>
      <c r="C346" s="3" t="n">
        <v>12</v>
      </c>
      <c r="D346" s="3" t="n">
        <v>50</v>
      </c>
      <c r="E346" s="3" t="inlineStr">
        <is>
          <t>S23-50</t>
        </is>
      </c>
    </row>
    <row r="347">
      <c r="A347" s="2" t="n">
        <v>45272</v>
      </c>
      <c r="B347" s="3" t="n">
        <v>2023</v>
      </c>
      <c r="C347" s="3" t="n">
        <v>12</v>
      </c>
      <c r="D347" s="3" t="n">
        <v>50</v>
      </c>
      <c r="E347" s="3" t="inlineStr">
        <is>
          <t>S23-50</t>
        </is>
      </c>
    </row>
    <row r="348">
      <c r="A348" s="2" t="n">
        <v>45273</v>
      </c>
      <c r="B348" s="3" t="n">
        <v>2023</v>
      </c>
      <c r="C348" s="3" t="n">
        <v>12</v>
      </c>
      <c r="D348" s="3" t="n">
        <v>50</v>
      </c>
      <c r="E348" s="3" t="inlineStr">
        <is>
          <t>S23-50</t>
        </is>
      </c>
    </row>
    <row r="349">
      <c r="A349" s="2" t="n">
        <v>45274</v>
      </c>
      <c r="B349" s="3" t="n">
        <v>2023</v>
      </c>
      <c r="C349" s="3" t="n">
        <v>12</v>
      </c>
      <c r="D349" s="3" t="n">
        <v>50</v>
      </c>
      <c r="E349" s="3" t="inlineStr">
        <is>
          <t>S23-50</t>
        </is>
      </c>
    </row>
    <row r="350">
      <c r="A350" s="2" t="n">
        <v>45275</v>
      </c>
      <c r="B350" s="3" t="n">
        <v>2023</v>
      </c>
      <c r="C350" s="3" t="n">
        <v>12</v>
      </c>
      <c r="D350" s="3" t="n">
        <v>50</v>
      </c>
      <c r="E350" s="3" t="inlineStr">
        <is>
          <t>S23-50</t>
        </is>
      </c>
    </row>
    <row r="351">
      <c r="A351" s="2" t="n">
        <v>45276</v>
      </c>
      <c r="B351" s="3" t="n">
        <v>2023</v>
      </c>
      <c r="C351" s="3" t="n">
        <v>12</v>
      </c>
      <c r="D351" s="3" t="n">
        <v>50</v>
      </c>
      <c r="E351" s="3" t="inlineStr">
        <is>
          <t>S23-50</t>
        </is>
      </c>
    </row>
    <row r="352">
      <c r="A352" s="2" t="n">
        <v>45277</v>
      </c>
      <c r="B352" s="3" t="n">
        <v>2023</v>
      </c>
      <c r="C352" s="3" t="n">
        <v>12</v>
      </c>
      <c r="D352" s="3" t="n">
        <v>50</v>
      </c>
      <c r="E352" s="3" t="inlineStr">
        <is>
          <t>S23-50</t>
        </is>
      </c>
    </row>
    <row r="353">
      <c r="A353" s="2" t="n">
        <v>45278</v>
      </c>
      <c r="B353" s="3" t="n">
        <v>2023</v>
      </c>
      <c r="C353" s="3" t="n">
        <v>12</v>
      </c>
      <c r="D353" s="3" t="n">
        <v>51</v>
      </c>
      <c r="E353" s="3" t="inlineStr">
        <is>
          <t>S23-51</t>
        </is>
      </c>
    </row>
    <row r="354">
      <c r="A354" s="2" t="n">
        <v>45279</v>
      </c>
      <c r="B354" s="3" t="n">
        <v>2023</v>
      </c>
      <c r="C354" s="3" t="n">
        <v>12</v>
      </c>
      <c r="D354" s="3" t="n">
        <v>51</v>
      </c>
      <c r="E354" s="3" t="inlineStr">
        <is>
          <t>S23-51</t>
        </is>
      </c>
    </row>
    <row r="355">
      <c r="A355" s="2" t="n">
        <v>45280</v>
      </c>
      <c r="B355" s="3" t="n">
        <v>2023</v>
      </c>
      <c r="C355" s="3" t="n">
        <v>12</v>
      </c>
      <c r="D355" s="3" t="n">
        <v>51</v>
      </c>
      <c r="E355" s="3" t="inlineStr">
        <is>
          <t>S23-51</t>
        </is>
      </c>
    </row>
    <row r="356">
      <c r="A356" s="2" t="n">
        <v>45281</v>
      </c>
      <c r="B356" s="3" t="n">
        <v>2023</v>
      </c>
      <c r="C356" s="3" t="n">
        <v>12</v>
      </c>
      <c r="D356" s="3" t="n">
        <v>51</v>
      </c>
      <c r="E356" s="3" t="inlineStr">
        <is>
          <t>S23-51</t>
        </is>
      </c>
    </row>
    <row r="357">
      <c r="A357" s="2" t="n">
        <v>45282</v>
      </c>
      <c r="B357" s="3" t="n">
        <v>2023</v>
      </c>
      <c r="C357" s="3" t="n">
        <v>12</v>
      </c>
      <c r="D357" s="3" t="n">
        <v>51</v>
      </c>
      <c r="E357" s="3" t="inlineStr">
        <is>
          <t>S23-51</t>
        </is>
      </c>
    </row>
    <row r="358">
      <c r="A358" s="2" t="n">
        <v>45283</v>
      </c>
      <c r="B358" s="3" t="n">
        <v>2023</v>
      </c>
      <c r="C358" s="3" t="n">
        <v>12</v>
      </c>
      <c r="D358" s="3" t="n">
        <v>51</v>
      </c>
      <c r="E358" s="3" t="inlineStr">
        <is>
          <t>S23-51</t>
        </is>
      </c>
    </row>
    <row r="359">
      <c r="A359" s="2" t="n">
        <v>45284</v>
      </c>
      <c r="B359" s="3" t="n">
        <v>2023</v>
      </c>
      <c r="C359" s="3" t="n">
        <v>12</v>
      </c>
      <c r="D359" s="3" t="n">
        <v>51</v>
      </c>
      <c r="E359" s="3" t="inlineStr">
        <is>
          <t>S23-51</t>
        </is>
      </c>
    </row>
    <row r="360">
      <c r="A360" s="2" t="n">
        <v>45285</v>
      </c>
      <c r="B360" s="3" t="n">
        <v>2023</v>
      </c>
      <c r="C360" s="3" t="n">
        <v>12</v>
      </c>
      <c r="D360" s="3" t="n">
        <v>52</v>
      </c>
      <c r="E360" s="3" t="inlineStr">
        <is>
          <t>S23-52</t>
        </is>
      </c>
    </row>
    <row r="361">
      <c r="A361" s="2" t="n">
        <v>45286</v>
      </c>
      <c r="B361" s="3" t="n">
        <v>2023</v>
      </c>
      <c r="C361" s="3" t="n">
        <v>12</v>
      </c>
      <c r="D361" s="3" t="n">
        <v>52</v>
      </c>
      <c r="E361" s="3" t="inlineStr">
        <is>
          <t>S23-52</t>
        </is>
      </c>
    </row>
    <row r="362">
      <c r="A362" s="2" t="n">
        <v>45287</v>
      </c>
      <c r="B362" s="3" t="n">
        <v>2023</v>
      </c>
      <c r="C362" s="3" t="n">
        <v>12</v>
      </c>
      <c r="D362" s="3" t="n">
        <v>52</v>
      </c>
      <c r="E362" s="3" t="inlineStr">
        <is>
          <t>S23-52</t>
        </is>
      </c>
    </row>
    <row r="363">
      <c r="A363" s="2" t="n">
        <v>45288</v>
      </c>
      <c r="B363" s="3" t="n">
        <v>2023</v>
      </c>
      <c r="C363" s="3" t="n">
        <v>12</v>
      </c>
      <c r="D363" s="3" t="n">
        <v>52</v>
      </c>
      <c r="E363" s="3" t="inlineStr">
        <is>
          <t>S23-52</t>
        </is>
      </c>
    </row>
    <row r="364">
      <c r="A364" s="2" t="n">
        <v>45289</v>
      </c>
      <c r="B364" s="3" t="n">
        <v>2023</v>
      </c>
      <c r="C364" s="3" t="n">
        <v>12</v>
      </c>
      <c r="D364" s="3" t="n">
        <v>52</v>
      </c>
      <c r="E364" s="3" t="inlineStr">
        <is>
          <t>S23-52</t>
        </is>
      </c>
    </row>
    <row r="365">
      <c r="A365" s="2" t="n">
        <v>45290</v>
      </c>
      <c r="B365" s="3" t="n">
        <v>2023</v>
      </c>
      <c r="C365" s="3" t="n">
        <v>12</v>
      </c>
      <c r="D365" s="3" t="n">
        <v>52</v>
      </c>
      <c r="E365" s="3" t="inlineStr">
        <is>
          <t>S23-52</t>
        </is>
      </c>
    </row>
    <row r="366">
      <c r="A366" s="2" t="n">
        <v>45291</v>
      </c>
      <c r="B366" s="3" t="n">
        <v>2023</v>
      </c>
      <c r="C366" s="3" t="n">
        <v>12</v>
      </c>
      <c r="D366" s="3" t="n">
        <v>52</v>
      </c>
      <c r="E366" s="3" t="inlineStr">
        <is>
          <t>S23-52</t>
        </is>
      </c>
    </row>
    <row r="367">
      <c r="A367" s="2" t="n">
        <v>45292</v>
      </c>
      <c r="B367" s="3" t="n">
        <v>2024</v>
      </c>
      <c r="C367" s="3" t="n">
        <v>1</v>
      </c>
      <c r="D367" s="3" t="n">
        <v>1</v>
      </c>
      <c r="E367" s="3" t="inlineStr">
        <is>
          <t>S24-01</t>
        </is>
      </c>
    </row>
    <row r="368">
      <c r="A368" s="2" t="n">
        <v>45293</v>
      </c>
      <c r="B368" s="3" t="n">
        <v>2024</v>
      </c>
      <c r="C368" s="3" t="n">
        <v>1</v>
      </c>
      <c r="D368" s="3" t="n">
        <v>1</v>
      </c>
      <c r="E368" s="3" t="inlineStr">
        <is>
          <t>S24-01</t>
        </is>
      </c>
    </row>
    <row r="369">
      <c r="A369" s="2" t="n">
        <v>45294</v>
      </c>
      <c r="B369" s="3" t="n">
        <v>2024</v>
      </c>
      <c r="C369" s="3" t="n">
        <v>1</v>
      </c>
      <c r="D369" s="3" t="n">
        <v>1</v>
      </c>
      <c r="E369" s="3" t="inlineStr">
        <is>
          <t>S24-01</t>
        </is>
      </c>
    </row>
    <row r="370">
      <c r="A370" s="2" t="n">
        <v>45295</v>
      </c>
      <c r="B370" s="3" t="n">
        <v>2024</v>
      </c>
      <c r="C370" s="3" t="n">
        <v>1</v>
      </c>
      <c r="D370" s="3" t="n">
        <v>1</v>
      </c>
      <c r="E370" s="3" t="inlineStr">
        <is>
          <t>S24-01</t>
        </is>
      </c>
    </row>
    <row r="371">
      <c r="A371" s="2" t="n">
        <v>45296</v>
      </c>
      <c r="B371" s="3" t="n">
        <v>2024</v>
      </c>
      <c r="C371" s="3" t="n">
        <v>1</v>
      </c>
      <c r="D371" s="3" t="n">
        <v>1</v>
      </c>
      <c r="E371" s="3" t="inlineStr">
        <is>
          <t>S24-01</t>
        </is>
      </c>
    </row>
    <row r="372">
      <c r="A372" s="2" t="n">
        <v>45297</v>
      </c>
      <c r="B372" s="3" t="n">
        <v>2024</v>
      </c>
      <c r="C372" s="3" t="n">
        <v>1</v>
      </c>
      <c r="D372" s="3" t="n">
        <v>1</v>
      </c>
      <c r="E372" s="3" t="inlineStr">
        <is>
          <t>S24-01</t>
        </is>
      </c>
    </row>
    <row r="373">
      <c r="A373" s="2" t="n">
        <v>45298</v>
      </c>
      <c r="B373" s="3" t="n">
        <v>2024</v>
      </c>
      <c r="C373" s="3" t="n">
        <v>1</v>
      </c>
      <c r="D373" s="3" t="n">
        <v>1</v>
      </c>
      <c r="E373" s="3" t="inlineStr">
        <is>
          <t>S24-01</t>
        </is>
      </c>
    </row>
    <row r="374">
      <c r="A374" s="2" t="n">
        <v>45299</v>
      </c>
      <c r="B374" s="3" t="n">
        <v>2024</v>
      </c>
      <c r="C374" s="3" t="n">
        <v>1</v>
      </c>
      <c r="D374" s="3" t="n">
        <v>2</v>
      </c>
      <c r="E374" s="3" t="inlineStr">
        <is>
          <t>S24-02</t>
        </is>
      </c>
    </row>
    <row r="375">
      <c r="A375" s="2" t="n">
        <v>45300</v>
      </c>
      <c r="B375" s="3" t="n">
        <v>2024</v>
      </c>
      <c r="C375" s="3" t="n">
        <v>1</v>
      </c>
      <c r="D375" s="3" t="n">
        <v>2</v>
      </c>
      <c r="E375" s="3" t="inlineStr">
        <is>
          <t>S24-02</t>
        </is>
      </c>
    </row>
    <row r="376">
      <c r="A376" s="2" t="n">
        <v>45301</v>
      </c>
      <c r="B376" s="3" t="n">
        <v>2024</v>
      </c>
      <c r="C376" s="3" t="n">
        <v>1</v>
      </c>
      <c r="D376" s="3" t="n">
        <v>2</v>
      </c>
      <c r="E376" s="3" t="inlineStr">
        <is>
          <t>S24-02</t>
        </is>
      </c>
    </row>
    <row r="377">
      <c r="A377" s="2" t="n">
        <v>45302</v>
      </c>
      <c r="B377" s="3" t="n">
        <v>2024</v>
      </c>
      <c r="C377" s="3" t="n">
        <v>1</v>
      </c>
      <c r="D377" s="3" t="n">
        <v>2</v>
      </c>
      <c r="E377" s="3" t="inlineStr">
        <is>
          <t>S24-02</t>
        </is>
      </c>
    </row>
    <row r="378">
      <c r="A378" s="2" t="n">
        <v>45303</v>
      </c>
      <c r="B378" s="3" t="n">
        <v>2024</v>
      </c>
      <c r="C378" s="3" t="n">
        <v>1</v>
      </c>
      <c r="D378" s="3" t="n">
        <v>2</v>
      </c>
      <c r="E378" s="3" t="inlineStr">
        <is>
          <t>S24-02</t>
        </is>
      </c>
    </row>
    <row r="379">
      <c r="A379" s="2" t="n">
        <v>45304</v>
      </c>
      <c r="B379" s="3" t="n">
        <v>2024</v>
      </c>
      <c r="C379" s="3" t="n">
        <v>1</v>
      </c>
      <c r="D379" s="3" t="n">
        <v>2</v>
      </c>
      <c r="E379" s="3" t="inlineStr">
        <is>
          <t>S24-02</t>
        </is>
      </c>
    </row>
    <row r="380">
      <c r="A380" s="2" t="n">
        <v>45305</v>
      </c>
      <c r="B380" s="3" t="n">
        <v>2024</v>
      </c>
      <c r="C380" s="3" t="n">
        <v>1</v>
      </c>
      <c r="D380" s="3" t="n">
        <v>2</v>
      </c>
      <c r="E380" s="3" t="inlineStr">
        <is>
          <t>S24-02</t>
        </is>
      </c>
    </row>
    <row r="381">
      <c r="A381" s="2" t="n">
        <v>45306</v>
      </c>
      <c r="B381" s="3" t="n">
        <v>2024</v>
      </c>
      <c r="C381" s="3" t="n">
        <v>1</v>
      </c>
      <c r="D381" s="3" t="n">
        <v>3</v>
      </c>
      <c r="E381" s="3" t="inlineStr">
        <is>
          <t>S24-03</t>
        </is>
      </c>
    </row>
    <row r="382">
      <c r="A382" s="2" t="n">
        <v>45307</v>
      </c>
      <c r="B382" s="3" t="n">
        <v>2024</v>
      </c>
      <c r="C382" s="3" t="n">
        <v>1</v>
      </c>
      <c r="D382" s="3" t="n">
        <v>3</v>
      </c>
      <c r="E382" s="3" t="inlineStr">
        <is>
          <t>S24-03</t>
        </is>
      </c>
    </row>
    <row r="383">
      <c r="A383" s="2" t="n">
        <v>45308</v>
      </c>
      <c r="B383" s="3" t="n">
        <v>2024</v>
      </c>
      <c r="C383" s="3" t="n">
        <v>1</v>
      </c>
      <c r="D383" s="3" t="n">
        <v>3</v>
      </c>
      <c r="E383" s="3" t="inlineStr">
        <is>
          <t>S24-03</t>
        </is>
      </c>
    </row>
    <row r="384">
      <c r="A384" s="2" t="n">
        <v>45309</v>
      </c>
      <c r="B384" s="3" t="n">
        <v>2024</v>
      </c>
      <c r="C384" s="3" t="n">
        <v>1</v>
      </c>
      <c r="D384" s="3" t="n">
        <v>3</v>
      </c>
      <c r="E384" s="3" t="inlineStr">
        <is>
          <t>S24-03</t>
        </is>
      </c>
    </row>
    <row r="385">
      <c r="A385" s="2" t="n">
        <v>45310</v>
      </c>
      <c r="B385" s="3" t="n">
        <v>2024</v>
      </c>
      <c r="C385" s="3" t="n">
        <v>1</v>
      </c>
      <c r="D385" s="3" t="n">
        <v>3</v>
      </c>
      <c r="E385" s="3" t="inlineStr">
        <is>
          <t>S24-03</t>
        </is>
      </c>
    </row>
    <row r="386">
      <c r="A386" s="2" t="n">
        <v>45311</v>
      </c>
      <c r="B386" s="3" t="n">
        <v>2024</v>
      </c>
      <c r="C386" s="3" t="n">
        <v>1</v>
      </c>
      <c r="D386" s="3" t="n">
        <v>3</v>
      </c>
      <c r="E386" s="3" t="inlineStr">
        <is>
          <t>S24-03</t>
        </is>
      </c>
    </row>
    <row r="387">
      <c r="A387" s="2" t="n">
        <v>45312</v>
      </c>
      <c r="B387" s="3" t="n">
        <v>2024</v>
      </c>
      <c r="C387" s="3" t="n">
        <v>1</v>
      </c>
      <c r="D387" s="3" t="n">
        <v>3</v>
      </c>
      <c r="E387" s="3" t="inlineStr">
        <is>
          <t>S24-03</t>
        </is>
      </c>
    </row>
    <row r="388">
      <c r="A388" s="2" t="n">
        <v>45313</v>
      </c>
      <c r="B388" s="3" t="n">
        <v>2024</v>
      </c>
      <c r="C388" s="3" t="n">
        <v>1</v>
      </c>
      <c r="D388" s="3" t="n">
        <v>4</v>
      </c>
      <c r="E388" s="3" t="inlineStr">
        <is>
          <t>S24-04</t>
        </is>
      </c>
    </row>
    <row r="389">
      <c r="A389" s="2" t="n">
        <v>45314</v>
      </c>
      <c r="B389" s="3" t="n">
        <v>2024</v>
      </c>
      <c r="C389" s="3" t="n">
        <v>1</v>
      </c>
      <c r="D389" s="3" t="n">
        <v>4</v>
      </c>
      <c r="E389" s="3" t="inlineStr">
        <is>
          <t>S24-04</t>
        </is>
      </c>
    </row>
    <row r="390">
      <c r="A390" s="2" t="n">
        <v>45315</v>
      </c>
      <c r="B390" s="3" t="n">
        <v>2024</v>
      </c>
      <c r="C390" s="3" t="n">
        <v>1</v>
      </c>
      <c r="D390" s="3" t="n">
        <v>4</v>
      </c>
      <c r="E390" s="3" t="inlineStr">
        <is>
          <t>S24-04</t>
        </is>
      </c>
    </row>
    <row r="391">
      <c r="A391" s="2" t="n">
        <v>45316</v>
      </c>
      <c r="B391" s="3" t="n">
        <v>2024</v>
      </c>
      <c r="C391" s="3" t="n">
        <v>1</v>
      </c>
      <c r="D391" s="3" t="n">
        <v>4</v>
      </c>
      <c r="E391" s="3" t="inlineStr">
        <is>
          <t>S24-04</t>
        </is>
      </c>
    </row>
    <row r="392">
      <c r="A392" s="2" t="n">
        <v>45317</v>
      </c>
      <c r="B392" s="3" t="n">
        <v>2024</v>
      </c>
      <c r="C392" s="3" t="n">
        <v>1</v>
      </c>
      <c r="D392" s="3" t="n">
        <v>4</v>
      </c>
      <c r="E392" s="3" t="inlineStr">
        <is>
          <t>S24-04</t>
        </is>
      </c>
    </row>
    <row r="393">
      <c r="A393" s="2" t="n">
        <v>45318</v>
      </c>
      <c r="B393" s="3" t="n">
        <v>2024</v>
      </c>
      <c r="C393" s="3" t="n">
        <v>1</v>
      </c>
      <c r="D393" s="3" t="n">
        <v>4</v>
      </c>
      <c r="E393" s="3" t="inlineStr">
        <is>
          <t>S24-04</t>
        </is>
      </c>
    </row>
    <row r="394">
      <c r="A394" s="2" t="n">
        <v>45319</v>
      </c>
      <c r="B394" s="3" t="n">
        <v>2024</v>
      </c>
      <c r="C394" s="3" t="n">
        <v>1</v>
      </c>
      <c r="D394" s="3" t="n">
        <v>4</v>
      </c>
      <c r="E394" s="3" t="inlineStr">
        <is>
          <t>S24-04</t>
        </is>
      </c>
    </row>
    <row r="395">
      <c r="A395" s="2" t="n">
        <v>45320</v>
      </c>
      <c r="B395" s="3" t="n">
        <v>2024</v>
      </c>
      <c r="C395" s="3" t="n">
        <v>1</v>
      </c>
      <c r="D395" s="3" t="n">
        <v>5</v>
      </c>
      <c r="E395" s="3" t="inlineStr">
        <is>
          <t>S24-05</t>
        </is>
      </c>
    </row>
    <row r="396">
      <c r="A396" s="2" t="n">
        <v>45321</v>
      </c>
      <c r="B396" s="3" t="n">
        <v>2024</v>
      </c>
      <c r="C396" s="3" t="n">
        <v>1</v>
      </c>
      <c r="D396" s="3" t="n">
        <v>5</v>
      </c>
      <c r="E396" s="3" t="inlineStr">
        <is>
          <t>S24-05</t>
        </is>
      </c>
    </row>
    <row r="397">
      <c r="A397" s="2" t="n">
        <v>45322</v>
      </c>
      <c r="B397" s="3" t="n">
        <v>2024</v>
      </c>
      <c r="C397" s="3" t="n">
        <v>1</v>
      </c>
      <c r="D397" s="3" t="n">
        <v>5</v>
      </c>
      <c r="E397" s="3" t="inlineStr">
        <is>
          <t>S24-05</t>
        </is>
      </c>
    </row>
    <row r="398">
      <c r="A398" s="2" t="n">
        <v>45323</v>
      </c>
      <c r="B398" s="3" t="n">
        <v>2024</v>
      </c>
      <c r="C398" s="3" t="n">
        <v>2</v>
      </c>
      <c r="D398" s="3" t="n">
        <v>5</v>
      </c>
      <c r="E398" s="3" t="inlineStr">
        <is>
          <t>S24-05</t>
        </is>
      </c>
    </row>
    <row r="399">
      <c r="A399" s="2" t="n">
        <v>45324</v>
      </c>
      <c r="B399" s="3" t="n">
        <v>2024</v>
      </c>
      <c r="C399" s="3" t="n">
        <v>2</v>
      </c>
      <c r="D399" s="3" t="n">
        <v>5</v>
      </c>
      <c r="E399" s="3" t="inlineStr">
        <is>
          <t>S24-05</t>
        </is>
      </c>
    </row>
    <row r="400">
      <c r="A400" s="2" t="n">
        <v>45325</v>
      </c>
      <c r="B400" s="3" t="n">
        <v>2024</v>
      </c>
      <c r="C400" s="3" t="n">
        <v>2</v>
      </c>
      <c r="D400" s="3" t="n">
        <v>5</v>
      </c>
      <c r="E400" s="3" t="inlineStr">
        <is>
          <t>S24-05</t>
        </is>
      </c>
    </row>
    <row r="401">
      <c r="A401" s="2" t="n">
        <v>45326</v>
      </c>
      <c r="B401" s="3" t="n">
        <v>2024</v>
      </c>
      <c r="C401" s="3" t="n">
        <v>2</v>
      </c>
      <c r="D401" s="3" t="n">
        <v>5</v>
      </c>
      <c r="E401" s="3" t="inlineStr">
        <is>
          <t>S24-05</t>
        </is>
      </c>
    </row>
    <row r="402">
      <c r="A402" s="2" t="n">
        <v>45327</v>
      </c>
      <c r="B402" s="3" t="n">
        <v>2024</v>
      </c>
      <c r="C402" s="3" t="n">
        <v>2</v>
      </c>
      <c r="D402" s="3" t="n">
        <v>6</v>
      </c>
      <c r="E402" s="3" t="inlineStr">
        <is>
          <t>S24-06</t>
        </is>
      </c>
    </row>
    <row r="403">
      <c r="A403" s="2" t="n">
        <v>45328</v>
      </c>
      <c r="B403" s="3" t="n">
        <v>2024</v>
      </c>
      <c r="C403" s="3" t="n">
        <v>2</v>
      </c>
      <c r="D403" s="3" t="n">
        <v>6</v>
      </c>
      <c r="E403" s="3" t="inlineStr">
        <is>
          <t>S24-06</t>
        </is>
      </c>
    </row>
    <row r="404">
      <c r="A404" s="2" t="n">
        <v>45329</v>
      </c>
      <c r="B404" s="3" t="n">
        <v>2024</v>
      </c>
      <c r="C404" s="3" t="n">
        <v>2</v>
      </c>
      <c r="D404" s="3" t="n">
        <v>6</v>
      </c>
      <c r="E404" s="3" t="inlineStr">
        <is>
          <t>S24-06</t>
        </is>
      </c>
    </row>
    <row r="405">
      <c r="A405" s="2" t="n">
        <v>45330</v>
      </c>
      <c r="B405" s="3" t="n">
        <v>2024</v>
      </c>
      <c r="C405" s="3" t="n">
        <v>2</v>
      </c>
      <c r="D405" s="3" t="n">
        <v>6</v>
      </c>
      <c r="E405" s="3" t="inlineStr">
        <is>
          <t>S24-06</t>
        </is>
      </c>
    </row>
    <row r="406">
      <c r="A406" s="2" t="n">
        <v>45331</v>
      </c>
      <c r="B406" s="3" t="n">
        <v>2024</v>
      </c>
      <c r="C406" s="3" t="n">
        <v>2</v>
      </c>
      <c r="D406" s="3" t="n">
        <v>6</v>
      </c>
      <c r="E406" s="3" t="inlineStr">
        <is>
          <t>S24-06</t>
        </is>
      </c>
    </row>
    <row r="407">
      <c r="A407" s="2" t="n">
        <v>45332</v>
      </c>
      <c r="B407" s="3" t="n">
        <v>2024</v>
      </c>
      <c r="C407" s="3" t="n">
        <v>2</v>
      </c>
      <c r="D407" s="3" t="n">
        <v>6</v>
      </c>
      <c r="E407" s="3" t="inlineStr">
        <is>
          <t>S24-06</t>
        </is>
      </c>
    </row>
    <row r="408">
      <c r="A408" s="2" t="n">
        <v>45333</v>
      </c>
      <c r="B408" s="3" t="n">
        <v>2024</v>
      </c>
      <c r="C408" s="3" t="n">
        <v>2</v>
      </c>
      <c r="D408" s="3" t="n">
        <v>6</v>
      </c>
      <c r="E408" s="3" t="inlineStr">
        <is>
          <t>S24-06</t>
        </is>
      </c>
    </row>
    <row r="409">
      <c r="A409" s="2" t="n">
        <v>45334</v>
      </c>
      <c r="B409" s="3" t="n">
        <v>2024</v>
      </c>
      <c r="C409" s="3" t="n">
        <v>2</v>
      </c>
      <c r="D409" s="3" t="n">
        <v>7</v>
      </c>
      <c r="E409" s="3" t="inlineStr">
        <is>
          <t>S24-07</t>
        </is>
      </c>
    </row>
    <row r="410">
      <c r="A410" s="2" t="n">
        <v>45335</v>
      </c>
      <c r="B410" s="3" t="n">
        <v>2024</v>
      </c>
      <c r="C410" s="3" t="n">
        <v>2</v>
      </c>
      <c r="D410" s="3" t="n">
        <v>7</v>
      </c>
      <c r="E410" s="3" t="inlineStr">
        <is>
          <t>S24-07</t>
        </is>
      </c>
    </row>
    <row r="411">
      <c r="A411" s="2" t="n">
        <v>45336</v>
      </c>
      <c r="B411" s="3" t="n">
        <v>2024</v>
      </c>
      <c r="C411" s="3" t="n">
        <v>2</v>
      </c>
      <c r="D411" s="3" t="n">
        <v>7</v>
      </c>
      <c r="E411" s="3" t="inlineStr">
        <is>
          <t>S24-07</t>
        </is>
      </c>
    </row>
    <row r="412">
      <c r="A412" s="2" t="n">
        <v>45337</v>
      </c>
      <c r="B412" s="3" t="n">
        <v>2024</v>
      </c>
      <c r="C412" s="3" t="n">
        <v>2</v>
      </c>
      <c r="D412" s="3" t="n">
        <v>7</v>
      </c>
      <c r="E412" s="3" t="inlineStr">
        <is>
          <t>S24-07</t>
        </is>
      </c>
    </row>
    <row r="413">
      <c r="A413" s="2" t="n">
        <v>45338</v>
      </c>
      <c r="B413" s="3" t="n">
        <v>2024</v>
      </c>
      <c r="C413" s="3" t="n">
        <v>2</v>
      </c>
      <c r="D413" s="3" t="n">
        <v>7</v>
      </c>
      <c r="E413" s="3" t="inlineStr">
        <is>
          <t>S24-07</t>
        </is>
      </c>
    </row>
    <row r="414">
      <c r="A414" s="2" t="n">
        <v>45339</v>
      </c>
      <c r="B414" s="3" t="n">
        <v>2024</v>
      </c>
      <c r="C414" s="3" t="n">
        <v>2</v>
      </c>
      <c r="D414" s="3" t="n">
        <v>7</v>
      </c>
      <c r="E414" s="3" t="inlineStr">
        <is>
          <t>S24-07</t>
        </is>
      </c>
    </row>
    <row r="415">
      <c r="A415" s="2" t="n">
        <v>45340</v>
      </c>
      <c r="B415" s="3" t="n">
        <v>2024</v>
      </c>
      <c r="C415" s="3" t="n">
        <v>2</v>
      </c>
      <c r="D415" s="3" t="n">
        <v>7</v>
      </c>
      <c r="E415" s="3" t="inlineStr">
        <is>
          <t>S24-07</t>
        </is>
      </c>
    </row>
    <row r="416">
      <c r="A416" s="2" t="n">
        <v>45341</v>
      </c>
      <c r="B416" s="3" t="n">
        <v>2024</v>
      </c>
      <c r="C416" s="3" t="n">
        <v>2</v>
      </c>
      <c r="D416" s="3" t="n">
        <v>8</v>
      </c>
      <c r="E416" s="3" t="inlineStr">
        <is>
          <t>S24-08</t>
        </is>
      </c>
    </row>
    <row r="417">
      <c r="A417" s="2" t="n">
        <v>45342</v>
      </c>
      <c r="B417" s="3" t="n">
        <v>2024</v>
      </c>
      <c r="C417" s="3" t="n">
        <v>2</v>
      </c>
      <c r="D417" s="3" t="n">
        <v>8</v>
      </c>
      <c r="E417" s="3" t="inlineStr">
        <is>
          <t>S24-08</t>
        </is>
      </c>
    </row>
    <row r="418">
      <c r="A418" s="2" t="n">
        <v>45343</v>
      </c>
      <c r="B418" s="3" t="n">
        <v>2024</v>
      </c>
      <c r="C418" s="3" t="n">
        <v>2</v>
      </c>
      <c r="D418" s="3" t="n">
        <v>8</v>
      </c>
      <c r="E418" s="3" t="inlineStr">
        <is>
          <t>S24-08</t>
        </is>
      </c>
    </row>
    <row r="419">
      <c r="A419" s="2" t="n">
        <v>45344</v>
      </c>
      <c r="B419" s="3" t="n">
        <v>2024</v>
      </c>
      <c r="C419" s="3" t="n">
        <v>2</v>
      </c>
      <c r="D419" s="3" t="n">
        <v>8</v>
      </c>
      <c r="E419" s="3" t="inlineStr">
        <is>
          <t>S24-08</t>
        </is>
      </c>
    </row>
    <row r="420">
      <c r="A420" s="2" t="n">
        <v>45345</v>
      </c>
      <c r="B420" s="3" t="n">
        <v>2024</v>
      </c>
      <c r="C420" s="3" t="n">
        <v>2</v>
      </c>
      <c r="D420" s="3" t="n">
        <v>8</v>
      </c>
      <c r="E420" s="3" t="inlineStr">
        <is>
          <t>S24-08</t>
        </is>
      </c>
    </row>
    <row r="421">
      <c r="A421" s="2" t="n">
        <v>45346</v>
      </c>
      <c r="B421" s="3" t="n">
        <v>2024</v>
      </c>
      <c r="C421" s="3" t="n">
        <v>2</v>
      </c>
      <c r="D421" s="3" t="n">
        <v>8</v>
      </c>
      <c r="E421" s="3" t="inlineStr">
        <is>
          <t>S24-08</t>
        </is>
      </c>
    </row>
    <row r="422">
      <c r="A422" s="2" t="n">
        <v>45347</v>
      </c>
      <c r="B422" s="3" t="n">
        <v>2024</v>
      </c>
      <c r="C422" s="3" t="n">
        <v>2</v>
      </c>
      <c r="D422" s="3" t="n">
        <v>8</v>
      </c>
      <c r="E422" s="3" t="inlineStr">
        <is>
          <t>S24-08</t>
        </is>
      </c>
    </row>
    <row r="423">
      <c r="A423" s="2" t="n">
        <v>45348</v>
      </c>
      <c r="B423" s="3" t="n">
        <v>2024</v>
      </c>
      <c r="C423" s="3" t="n">
        <v>2</v>
      </c>
      <c r="D423" s="3" t="n">
        <v>9</v>
      </c>
      <c r="E423" s="3" t="inlineStr">
        <is>
          <t>S24-09</t>
        </is>
      </c>
    </row>
    <row r="424">
      <c r="A424" s="2" t="n">
        <v>45349</v>
      </c>
      <c r="B424" s="3" t="n">
        <v>2024</v>
      </c>
      <c r="C424" s="3" t="n">
        <v>2</v>
      </c>
      <c r="D424" s="3" t="n">
        <v>9</v>
      </c>
      <c r="E424" s="3" t="inlineStr">
        <is>
          <t>S24-09</t>
        </is>
      </c>
    </row>
    <row r="425">
      <c r="A425" s="2" t="n">
        <v>45350</v>
      </c>
      <c r="B425" s="3" t="n">
        <v>2024</v>
      </c>
      <c r="C425" s="3" t="n">
        <v>2</v>
      </c>
      <c r="D425" s="3" t="n">
        <v>9</v>
      </c>
      <c r="E425" s="3" t="inlineStr">
        <is>
          <t>S24-09</t>
        </is>
      </c>
    </row>
    <row r="426">
      <c r="A426" s="2" t="n">
        <v>45351</v>
      </c>
      <c r="B426" s="3" t="n">
        <v>2024</v>
      </c>
      <c r="C426" s="3" t="n">
        <v>2</v>
      </c>
      <c r="D426" s="3" t="n">
        <v>9</v>
      </c>
      <c r="E426" s="3" t="inlineStr">
        <is>
          <t>S24-09</t>
        </is>
      </c>
    </row>
    <row r="427">
      <c r="A427" s="2" t="n">
        <v>45352</v>
      </c>
      <c r="B427" s="3" t="n">
        <v>2024</v>
      </c>
      <c r="C427" s="3" t="n">
        <v>3</v>
      </c>
      <c r="D427" s="3" t="n">
        <v>9</v>
      </c>
      <c r="E427" s="3" t="inlineStr">
        <is>
          <t>S24-09</t>
        </is>
      </c>
    </row>
    <row r="428">
      <c r="A428" s="2" t="n">
        <v>45353</v>
      </c>
      <c r="B428" s="3" t="n">
        <v>2024</v>
      </c>
      <c r="C428" s="3" t="n">
        <v>3</v>
      </c>
      <c r="D428" s="3" t="n">
        <v>9</v>
      </c>
      <c r="E428" s="3" t="inlineStr">
        <is>
          <t>S24-09</t>
        </is>
      </c>
    </row>
    <row r="429">
      <c r="A429" s="2" t="n">
        <v>45354</v>
      </c>
      <c r="B429" s="3" t="n">
        <v>2024</v>
      </c>
      <c r="C429" s="3" t="n">
        <v>3</v>
      </c>
      <c r="D429" s="3" t="n">
        <v>9</v>
      </c>
      <c r="E429" s="3" t="inlineStr">
        <is>
          <t>S24-09</t>
        </is>
      </c>
    </row>
    <row r="430">
      <c r="A430" s="2" t="n">
        <v>45355</v>
      </c>
      <c r="B430" s="3" t="n">
        <v>2024</v>
      </c>
      <c r="C430" s="3" t="n">
        <v>3</v>
      </c>
      <c r="D430" s="3" t="n">
        <v>10</v>
      </c>
      <c r="E430" s="3" t="inlineStr">
        <is>
          <t>S24-10</t>
        </is>
      </c>
    </row>
    <row r="431">
      <c r="A431" s="2" t="n">
        <v>45356</v>
      </c>
      <c r="B431" s="3" t="n">
        <v>2024</v>
      </c>
      <c r="C431" s="3" t="n">
        <v>3</v>
      </c>
      <c r="D431" s="3" t="n">
        <v>10</v>
      </c>
      <c r="E431" s="3" t="inlineStr">
        <is>
          <t>S24-10</t>
        </is>
      </c>
    </row>
    <row r="432">
      <c r="A432" s="2" t="n">
        <v>45357</v>
      </c>
      <c r="B432" s="3" t="n">
        <v>2024</v>
      </c>
      <c r="C432" s="3" t="n">
        <v>3</v>
      </c>
      <c r="D432" s="3" t="n">
        <v>10</v>
      </c>
      <c r="E432" s="3" t="inlineStr">
        <is>
          <t>S24-10</t>
        </is>
      </c>
    </row>
    <row r="433">
      <c r="A433" s="2" t="n">
        <v>45358</v>
      </c>
      <c r="B433" s="3" t="n">
        <v>2024</v>
      </c>
      <c r="C433" s="3" t="n">
        <v>3</v>
      </c>
      <c r="D433" s="3" t="n">
        <v>10</v>
      </c>
      <c r="E433" s="3" t="inlineStr">
        <is>
          <t>S24-10</t>
        </is>
      </c>
    </row>
    <row r="434">
      <c r="A434" s="2" t="n">
        <v>45359</v>
      </c>
      <c r="B434" s="3" t="n">
        <v>2024</v>
      </c>
      <c r="C434" s="3" t="n">
        <v>3</v>
      </c>
      <c r="D434" s="3" t="n">
        <v>10</v>
      </c>
      <c r="E434" s="3" t="inlineStr">
        <is>
          <t>S24-10</t>
        </is>
      </c>
    </row>
    <row r="435">
      <c r="A435" s="2" t="n">
        <v>45360</v>
      </c>
      <c r="B435" s="3" t="n">
        <v>2024</v>
      </c>
      <c r="C435" s="3" t="n">
        <v>3</v>
      </c>
      <c r="D435" s="3" t="n">
        <v>10</v>
      </c>
      <c r="E435" s="3" t="inlineStr">
        <is>
          <t>S24-10</t>
        </is>
      </c>
    </row>
    <row r="436">
      <c r="A436" s="2" t="n">
        <v>45361</v>
      </c>
      <c r="B436" s="3" t="n">
        <v>2024</v>
      </c>
      <c r="C436" s="3" t="n">
        <v>3</v>
      </c>
      <c r="D436" s="3" t="n">
        <v>10</v>
      </c>
      <c r="E436" s="3" t="inlineStr">
        <is>
          <t>S24-10</t>
        </is>
      </c>
    </row>
    <row r="437">
      <c r="A437" s="2" t="n">
        <v>45362</v>
      </c>
      <c r="B437" s="3" t="n">
        <v>2024</v>
      </c>
      <c r="C437" s="3" t="n">
        <v>3</v>
      </c>
      <c r="D437" s="3" t="n">
        <v>11</v>
      </c>
      <c r="E437" s="3" t="inlineStr">
        <is>
          <t>S24-11</t>
        </is>
      </c>
    </row>
    <row r="438">
      <c r="A438" s="2" t="n">
        <v>45363</v>
      </c>
      <c r="B438" s="3" t="n">
        <v>2024</v>
      </c>
      <c r="C438" s="3" t="n">
        <v>3</v>
      </c>
      <c r="D438" s="3" t="n">
        <v>11</v>
      </c>
      <c r="E438" s="3" t="inlineStr">
        <is>
          <t>S24-11</t>
        </is>
      </c>
    </row>
    <row r="439">
      <c r="A439" s="2" t="n">
        <v>45364</v>
      </c>
      <c r="B439" s="3" t="n">
        <v>2024</v>
      </c>
      <c r="C439" s="3" t="n">
        <v>3</v>
      </c>
      <c r="D439" s="3" t="n">
        <v>11</v>
      </c>
      <c r="E439" s="3" t="inlineStr">
        <is>
          <t>S24-11</t>
        </is>
      </c>
    </row>
    <row r="440">
      <c r="A440" s="2" t="n">
        <v>45365</v>
      </c>
      <c r="B440" s="3" t="n">
        <v>2024</v>
      </c>
      <c r="C440" s="3" t="n">
        <v>3</v>
      </c>
      <c r="D440" s="3" t="n">
        <v>11</v>
      </c>
      <c r="E440" s="3" t="inlineStr">
        <is>
          <t>S24-11</t>
        </is>
      </c>
    </row>
    <row r="441">
      <c r="A441" s="2" t="n">
        <v>45366</v>
      </c>
      <c r="B441" s="3" t="n">
        <v>2024</v>
      </c>
      <c r="C441" s="3" t="n">
        <v>3</v>
      </c>
      <c r="D441" s="3" t="n">
        <v>11</v>
      </c>
      <c r="E441" s="3" t="inlineStr">
        <is>
          <t>S24-11</t>
        </is>
      </c>
    </row>
    <row r="442">
      <c r="A442" s="2" t="n">
        <v>45367</v>
      </c>
      <c r="B442" s="3" t="n">
        <v>2024</v>
      </c>
      <c r="C442" s="3" t="n">
        <v>3</v>
      </c>
      <c r="D442" s="3" t="n">
        <v>11</v>
      </c>
      <c r="E442" s="3" t="inlineStr">
        <is>
          <t>S24-11</t>
        </is>
      </c>
    </row>
    <row r="443">
      <c r="A443" s="2" t="n">
        <v>45368</v>
      </c>
      <c r="B443" s="3" t="n">
        <v>2024</v>
      </c>
      <c r="C443" s="3" t="n">
        <v>3</v>
      </c>
      <c r="D443" s="3" t="n">
        <v>11</v>
      </c>
      <c r="E443" s="3" t="inlineStr">
        <is>
          <t>S24-11</t>
        </is>
      </c>
    </row>
    <row r="444">
      <c r="A444" s="2" t="n">
        <v>45369</v>
      </c>
      <c r="B444" s="3" t="n">
        <v>2024</v>
      </c>
      <c r="C444" s="3" t="n">
        <v>3</v>
      </c>
      <c r="D444" s="3" t="n">
        <v>12</v>
      </c>
      <c r="E444" s="3" t="inlineStr">
        <is>
          <t>S24-12</t>
        </is>
      </c>
    </row>
    <row r="445">
      <c r="A445" s="2" t="n">
        <v>45370</v>
      </c>
      <c r="B445" s="3" t="n">
        <v>2024</v>
      </c>
      <c r="C445" s="3" t="n">
        <v>3</v>
      </c>
      <c r="D445" s="3" t="n">
        <v>12</v>
      </c>
      <c r="E445" s="3" t="inlineStr">
        <is>
          <t>S24-12</t>
        </is>
      </c>
    </row>
    <row r="446">
      <c r="A446" s="2" t="n">
        <v>45371</v>
      </c>
      <c r="B446" s="3" t="n">
        <v>2024</v>
      </c>
      <c r="C446" s="3" t="n">
        <v>3</v>
      </c>
      <c r="D446" s="3" t="n">
        <v>12</v>
      </c>
      <c r="E446" s="3" t="inlineStr">
        <is>
          <t>S24-12</t>
        </is>
      </c>
    </row>
    <row r="447">
      <c r="A447" s="2" t="n">
        <v>45372</v>
      </c>
      <c r="B447" s="3" t="n">
        <v>2024</v>
      </c>
      <c r="C447" s="3" t="n">
        <v>3</v>
      </c>
      <c r="D447" s="3" t="n">
        <v>12</v>
      </c>
      <c r="E447" s="3" t="inlineStr">
        <is>
          <t>S24-12</t>
        </is>
      </c>
    </row>
    <row r="448">
      <c r="A448" s="2" t="n">
        <v>45373</v>
      </c>
      <c r="B448" s="3" t="n">
        <v>2024</v>
      </c>
      <c r="C448" s="3" t="n">
        <v>3</v>
      </c>
      <c r="D448" s="3" t="n">
        <v>12</v>
      </c>
      <c r="E448" s="3" t="inlineStr">
        <is>
          <t>S24-12</t>
        </is>
      </c>
    </row>
    <row r="449">
      <c r="A449" s="2" t="n">
        <v>45374</v>
      </c>
      <c r="B449" s="3" t="n">
        <v>2024</v>
      </c>
      <c r="C449" s="3" t="n">
        <v>3</v>
      </c>
      <c r="D449" s="3" t="n">
        <v>12</v>
      </c>
      <c r="E449" s="3" t="inlineStr">
        <is>
          <t>S24-12</t>
        </is>
      </c>
    </row>
    <row r="450">
      <c r="A450" s="2" t="n">
        <v>45375</v>
      </c>
      <c r="B450" s="3" t="n">
        <v>2024</v>
      </c>
      <c r="C450" s="3" t="n">
        <v>3</v>
      </c>
      <c r="D450" s="3" t="n">
        <v>12</v>
      </c>
      <c r="E450" s="3" t="inlineStr">
        <is>
          <t>S24-12</t>
        </is>
      </c>
    </row>
    <row r="451">
      <c r="A451" s="2" t="n">
        <v>45376</v>
      </c>
      <c r="B451" s="3" t="n">
        <v>2024</v>
      </c>
      <c r="C451" s="3" t="n">
        <v>3</v>
      </c>
      <c r="D451" s="3" t="n">
        <v>13</v>
      </c>
      <c r="E451" s="3" t="inlineStr">
        <is>
          <t>S24-13</t>
        </is>
      </c>
    </row>
    <row r="452">
      <c r="A452" s="2" t="n">
        <v>45377</v>
      </c>
      <c r="B452" s="3" t="n">
        <v>2024</v>
      </c>
      <c r="C452" s="3" t="n">
        <v>3</v>
      </c>
      <c r="D452" s="3" t="n">
        <v>13</v>
      </c>
      <c r="E452" s="3" t="inlineStr">
        <is>
          <t>S24-13</t>
        </is>
      </c>
    </row>
    <row r="453">
      <c r="A453" s="2" t="n">
        <v>45378</v>
      </c>
      <c r="B453" s="3" t="n">
        <v>2024</v>
      </c>
      <c r="C453" s="3" t="n">
        <v>3</v>
      </c>
      <c r="D453" s="3" t="n">
        <v>13</v>
      </c>
      <c r="E453" s="3" t="inlineStr">
        <is>
          <t>S24-13</t>
        </is>
      </c>
    </row>
    <row r="454">
      <c r="A454" s="2" t="n">
        <v>45379</v>
      </c>
      <c r="B454" s="3" t="n">
        <v>2024</v>
      </c>
      <c r="C454" s="3" t="n">
        <v>3</v>
      </c>
      <c r="D454" s="3" t="n">
        <v>13</v>
      </c>
      <c r="E454" s="3" t="inlineStr">
        <is>
          <t>S24-13</t>
        </is>
      </c>
    </row>
    <row r="455">
      <c r="A455" s="2" t="n">
        <v>45380</v>
      </c>
      <c r="B455" s="3" t="n">
        <v>2024</v>
      </c>
      <c r="C455" s="3" t="n">
        <v>3</v>
      </c>
      <c r="D455" s="3" t="n">
        <v>13</v>
      </c>
      <c r="E455" s="3" t="inlineStr">
        <is>
          <t>S24-13</t>
        </is>
      </c>
    </row>
    <row r="456">
      <c r="A456" s="2" t="n">
        <v>45381</v>
      </c>
      <c r="B456" s="3" t="n">
        <v>2024</v>
      </c>
      <c r="C456" s="3" t="n">
        <v>3</v>
      </c>
      <c r="D456" s="3" t="n">
        <v>13</v>
      </c>
      <c r="E456" s="3" t="inlineStr">
        <is>
          <t>S24-13</t>
        </is>
      </c>
    </row>
    <row r="457">
      <c r="A457" s="2" t="n">
        <v>45382</v>
      </c>
      <c r="B457" s="3" t="n">
        <v>2024</v>
      </c>
      <c r="C457" s="3" t="n">
        <v>3</v>
      </c>
      <c r="D457" s="3" t="n">
        <v>13</v>
      </c>
      <c r="E457" s="3" t="inlineStr">
        <is>
          <t>S24-13</t>
        </is>
      </c>
    </row>
    <row r="458">
      <c r="A458" s="2" t="n">
        <v>45383</v>
      </c>
      <c r="B458" s="3" t="n">
        <v>2024</v>
      </c>
      <c r="C458" s="3" t="n">
        <v>4</v>
      </c>
      <c r="D458" s="3" t="n">
        <v>14</v>
      </c>
      <c r="E458" s="3" t="inlineStr">
        <is>
          <t>S24-14</t>
        </is>
      </c>
    </row>
    <row r="459">
      <c r="A459" s="2" t="n">
        <v>45384</v>
      </c>
      <c r="B459" s="3" t="n">
        <v>2024</v>
      </c>
      <c r="C459" s="3" t="n">
        <v>4</v>
      </c>
      <c r="D459" s="3" t="n">
        <v>14</v>
      </c>
      <c r="E459" s="3" t="inlineStr">
        <is>
          <t>S24-14</t>
        </is>
      </c>
    </row>
    <row r="460">
      <c r="A460" s="2" t="n">
        <v>45385</v>
      </c>
      <c r="B460" s="3" t="n">
        <v>2024</v>
      </c>
      <c r="C460" s="3" t="n">
        <v>4</v>
      </c>
      <c r="D460" s="3" t="n">
        <v>14</v>
      </c>
      <c r="E460" s="3" t="inlineStr">
        <is>
          <t>S24-14</t>
        </is>
      </c>
    </row>
    <row r="461">
      <c r="A461" s="2" t="n">
        <v>45386</v>
      </c>
      <c r="B461" s="3" t="n">
        <v>2024</v>
      </c>
      <c r="C461" s="3" t="n">
        <v>4</v>
      </c>
      <c r="D461" s="3" t="n">
        <v>14</v>
      </c>
      <c r="E461" s="3" t="inlineStr">
        <is>
          <t>S24-14</t>
        </is>
      </c>
    </row>
    <row r="462">
      <c r="A462" s="2" t="n">
        <v>45387</v>
      </c>
      <c r="B462" s="3" t="n">
        <v>2024</v>
      </c>
      <c r="C462" s="3" t="n">
        <v>4</v>
      </c>
      <c r="D462" s="3" t="n">
        <v>14</v>
      </c>
      <c r="E462" s="3" t="inlineStr">
        <is>
          <t>S24-14</t>
        </is>
      </c>
    </row>
    <row r="463">
      <c r="A463" s="2" t="n">
        <v>45388</v>
      </c>
      <c r="B463" s="3" t="n">
        <v>2024</v>
      </c>
      <c r="C463" s="3" t="n">
        <v>4</v>
      </c>
      <c r="D463" s="3" t="n">
        <v>14</v>
      </c>
      <c r="E463" s="3" t="inlineStr">
        <is>
          <t>S24-14</t>
        </is>
      </c>
    </row>
    <row r="464">
      <c r="A464" s="2" t="n">
        <v>45389</v>
      </c>
      <c r="B464" s="3" t="n">
        <v>2024</v>
      </c>
      <c r="C464" s="3" t="n">
        <v>4</v>
      </c>
      <c r="D464" s="3" t="n">
        <v>14</v>
      </c>
      <c r="E464" s="3" t="inlineStr">
        <is>
          <t>S24-14</t>
        </is>
      </c>
    </row>
    <row r="465">
      <c r="A465" s="2" t="n">
        <v>45390</v>
      </c>
      <c r="B465" s="3" t="n">
        <v>2024</v>
      </c>
      <c r="C465" s="3" t="n">
        <v>4</v>
      </c>
      <c r="D465" s="3" t="n">
        <v>15</v>
      </c>
      <c r="E465" s="3" t="inlineStr">
        <is>
          <t>S24-15</t>
        </is>
      </c>
    </row>
    <row r="466">
      <c r="A466" s="2" t="n">
        <v>45391</v>
      </c>
      <c r="B466" s="3" t="n">
        <v>2024</v>
      </c>
      <c r="C466" s="3" t="n">
        <v>4</v>
      </c>
      <c r="D466" s="3" t="n">
        <v>15</v>
      </c>
      <c r="E466" s="3" t="inlineStr">
        <is>
          <t>S24-15</t>
        </is>
      </c>
    </row>
    <row r="467">
      <c r="A467" s="2" t="n">
        <v>45392</v>
      </c>
      <c r="B467" s="3" t="n">
        <v>2024</v>
      </c>
      <c r="C467" s="3" t="n">
        <v>4</v>
      </c>
      <c r="D467" s="3" t="n">
        <v>15</v>
      </c>
      <c r="E467" s="3" t="inlineStr">
        <is>
          <t>S24-15</t>
        </is>
      </c>
    </row>
    <row r="468">
      <c r="A468" s="2" t="n">
        <v>45393</v>
      </c>
      <c r="B468" s="3" t="n">
        <v>2024</v>
      </c>
      <c r="C468" s="3" t="n">
        <v>4</v>
      </c>
      <c r="D468" s="3" t="n">
        <v>15</v>
      </c>
      <c r="E468" s="3" t="inlineStr">
        <is>
          <t>S24-15</t>
        </is>
      </c>
    </row>
    <row r="469">
      <c r="A469" s="2" t="n">
        <v>45394</v>
      </c>
      <c r="B469" s="3" t="n">
        <v>2024</v>
      </c>
      <c r="C469" s="3" t="n">
        <v>4</v>
      </c>
      <c r="D469" s="3" t="n">
        <v>15</v>
      </c>
      <c r="E469" s="3" t="inlineStr">
        <is>
          <t>S24-15</t>
        </is>
      </c>
    </row>
    <row r="470">
      <c r="A470" s="2" t="n">
        <v>45395</v>
      </c>
      <c r="B470" s="3" t="n">
        <v>2024</v>
      </c>
      <c r="C470" s="3" t="n">
        <v>4</v>
      </c>
      <c r="D470" s="3" t="n">
        <v>15</v>
      </c>
      <c r="E470" s="3" t="inlineStr">
        <is>
          <t>S24-15</t>
        </is>
      </c>
    </row>
    <row r="471">
      <c r="A471" s="2" t="n">
        <v>45396</v>
      </c>
      <c r="B471" s="3" t="n">
        <v>2024</v>
      </c>
      <c r="C471" s="3" t="n">
        <v>4</v>
      </c>
      <c r="D471" s="3" t="n">
        <v>15</v>
      </c>
      <c r="E471" s="3" t="inlineStr">
        <is>
          <t>S24-15</t>
        </is>
      </c>
    </row>
    <row r="472">
      <c r="A472" s="2" t="n">
        <v>45397</v>
      </c>
      <c r="B472" s="3" t="n">
        <v>2024</v>
      </c>
      <c r="C472" s="3" t="n">
        <v>4</v>
      </c>
      <c r="D472" s="3" t="n">
        <v>16</v>
      </c>
      <c r="E472" s="3" t="inlineStr">
        <is>
          <t>S24-16</t>
        </is>
      </c>
    </row>
    <row r="473">
      <c r="A473" s="2" t="n">
        <v>45398</v>
      </c>
      <c r="B473" s="3" t="n">
        <v>2024</v>
      </c>
      <c r="C473" s="3" t="n">
        <v>4</v>
      </c>
      <c r="D473" s="3" t="n">
        <v>16</v>
      </c>
      <c r="E473" s="3" t="inlineStr">
        <is>
          <t>S24-16</t>
        </is>
      </c>
    </row>
    <row r="474">
      <c r="A474" s="2" t="n">
        <v>45399</v>
      </c>
      <c r="B474" s="3" t="n">
        <v>2024</v>
      </c>
      <c r="C474" s="3" t="n">
        <v>4</v>
      </c>
      <c r="D474" s="3" t="n">
        <v>16</v>
      </c>
      <c r="E474" s="3" t="inlineStr">
        <is>
          <t>S24-16</t>
        </is>
      </c>
    </row>
    <row r="475">
      <c r="A475" s="2" t="n">
        <v>45400</v>
      </c>
      <c r="B475" s="3" t="n">
        <v>2024</v>
      </c>
      <c r="C475" s="3" t="n">
        <v>4</v>
      </c>
      <c r="D475" s="3" t="n">
        <v>16</v>
      </c>
      <c r="E475" s="3" t="inlineStr">
        <is>
          <t>S24-16</t>
        </is>
      </c>
    </row>
    <row r="476">
      <c r="A476" s="2" t="n">
        <v>45401</v>
      </c>
      <c r="B476" s="3" t="n">
        <v>2024</v>
      </c>
      <c r="C476" s="3" t="n">
        <v>4</v>
      </c>
      <c r="D476" s="3" t="n">
        <v>16</v>
      </c>
      <c r="E476" s="3" t="inlineStr">
        <is>
          <t>S24-16</t>
        </is>
      </c>
    </row>
    <row r="477">
      <c r="A477" s="2" t="n">
        <v>45402</v>
      </c>
      <c r="B477" s="3" t="n">
        <v>2024</v>
      </c>
      <c r="C477" s="3" t="n">
        <v>4</v>
      </c>
      <c r="D477" s="3" t="n">
        <v>16</v>
      </c>
      <c r="E477" s="3" t="inlineStr">
        <is>
          <t>S24-16</t>
        </is>
      </c>
    </row>
    <row r="478">
      <c r="A478" s="2" t="n">
        <v>45403</v>
      </c>
      <c r="B478" s="3" t="n">
        <v>2024</v>
      </c>
      <c r="C478" s="3" t="n">
        <v>4</v>
      </c>
      <c r="D478" s="3" t="n">
        <v>16</v>
      </c>
      <c r="E478" s="3" t="inlineStr">
        <is>
          <t>S24-16</t>
        </is>
      </c>
    </row>
    <row r="479">
      <c r="A479" s="2" t="n">
        <v>45404</v>
      </c>
      <c r="B479" s="3" t="n">
        <v>2024</v>
      </c>
      <c r="C479" s="3" t="n">
        <v>4</v>
      </c>
      <c r="D479" s="3" t="n">
        <v>17</v>
      </c>
      <c r="E479" s="3" t="inlineStr">
        <is>
          <t>S24-17</t>
        </is>
      </c>
    </row>
    <row r="480">
      <c r="A480" s="2" t="n">
        <v>45405</v>
      </c>
      <c r="B480" s="3" t="n">
        <v>2024</v>
      </c>
      <c r="C480" s="3" t="n">
        <v>4</v>
      </c>
      <c r="D480" s="3" t="n">
        <v>17</v>
      </c>
      <c r="E480" s="3" t="inlineStr">
        <is>
          <t>S24-17</t>
        </is>
      </c>
    </row>
    <row r="481">
      <c r="A481" s="2" t="n">
        <v>45406</v>
      </c>
      <c r="B481" s="3" t="n">
        <v>2024</v>
      </c>
      <c r="C481" s="3" t="n">
        <v>4</v>
      </c>
      <c r="D481" s="3" t="n">
        <v>17</v>
      </c>
      <c r="E481" s="3" t="inlineStr">
        <is>
          <t>S24-17</t>
        </is>
      </c>
    </row>
    <row r="482">
      <c r="A482" s="2" t="n">
        <v>45407</v>
      </c>
      <c r="B482" s="3" t="n">
        <v>2024</v>
      </c>
      <c r="C482" s="3" t="n">
        <v>4</v>
      </c>
      <c r="D482" s="3" t="n">
        <v>17</v>
      </c>
      <c r="E482" s="3" t="inlineStr">
        <is>
          <t>S24-17</t>
        </is>
      </c>
    </row>
    <row r="483">
      <c r="A483" s="2" t="n">
        <v>45408</v>
      </c>
      <c r="B483" s="3" t="n">
        <v>2024</v>
      </c>
      <c r="C483" s="3" t="n">
        <v>4</v>
      </c>
      <c r="D483" s="3" t="n">
        <v>17</v>
      </c>
      <c r="E483" s="3" t="inlineStr">
        <is>
          <t>S24-17</t>
        </is>
      </c>
    </row>
    <row r="484">
      <c r="A484" s="2" t="n">
        <v>45409</v>
      </c>
      <c r="B484" s="3" t="n">
        <v>2024</v>
      </c>
      <c r="C484" s="3" t="n">
        <v>4</v>
      </c>
      <c r="D484" s="3" t="n">
        <v>17</v>
      </c>
      <c r="E484" s="3" t="inlineStr">
        <is>
          <t>S24-17</t>
        </is>
      </c>
    </row>
    <row r="485">
      <c r="A485" s="2" t="n">
        <v>45410</v>
      </c>
      <c r="B485" s="3" t="n">
        <v>2024</v>
      </c>
      <c r="C485" s="3" t="n">
        <v>4</v>
      </c>
      <c r="D485" s="3" t="n">
        <v>17</v>
      </c>
      <c r="E485" s="3" t="inlineStr">
        <is>
          <t>S24-17</t>
        </is>
      </c>
    </row>
    <row r="486">
      <c r="A486" s="2" t="n">
        <v>45411</v>
      </c>
      <c r="B486" s="3" t="n">
        <v>2024</v>
      </c>
      <c r="C486" s="3" t="n">
        <v>4</v>
      </c>
      <c r="D486" s="3" t="n">
        <v>18</v>
      </c>
      <c r="E486" s="3" t="inlineStr">
        <is>
          <t>S24-18</t>
        </is>
      </c>
    </row>
    <row r="487">
      <c r="A487" s="2" t="n">
        <v>45412</v>
      </c>
      <c r="B487" s="3" t="n">
        <v>2024</v>
      </c>
      <c r="C487" s="3" t="n">
        <v>4</v>
      </c>
      <c r="D487" s="3" t="n">
        <v>18</v>
      </c>
      <c r="E487" s="3" t="inlineStr">
        <is>
          <t>S24-18</t>
        </is>
      </c>
    </row>
    <row r="488">
      <c r="A488" s="2" t="n">
        <v>45413</v>
      </c>
      <c r="B488" s="3" t="n">
        <v>2024</v>
      </c>
      <c r="C488" s="3" t="n">
        <v>5</v>
      </c>
      <c r="D488" s="3" t="n">
        <v>18</v>
      </c>
      <c r="E488" s="3" t="inlineStr">
        <is>
          <t>S24-18</t>
        </is>
      </c>
    </row>
    <row r="489">
      <c r="A489" s="2" t="n">
        <v>45414</v>
      </c>
      <c r="B489" s="3" t="n">
        <v>2024</v>
      </c>
      <c r="C489" s="3" t="n">
        <v>5</v>
      </c>
      <c r="D489" s="3" t="n">
        <v>18</v>
      </c>
      <c r="E489" s="3" t="inlineStr">
        <is>
          <t>S24-18</t>
        </is>
      </c>
    </row>
    <row r="490">
      <c r="A490" s="2" t="n">
        <v>45415</v>
      </c>
      <c r="B490" s="3" t="n">
        <v>2024</v>
      </c>
      <c r="C490" s="3" t="n">
        <v>5</v>
      </c>
      <c r="D490" s="3" t="n">
        <v>18</v>
      </c>
      <c r="E490" s="3" t="inlineStr">
        <is>
          <t>S24-18</t>
        </is>
      </c>
    </row>
    <row r="491">
      <c r="A491" s="2" t="n">
        <v>45416</v>
      </c>
      <c r="B491" s="3" t="n">
        <v>2024</v>
      </c>
      <c r="C491" s="3" t="n">
        <v>5</v>
      </c>
      <c r="D491" s="3" t="n">
        <v>18</v>
      </c>
      <c r="E491" s="3" t="inlineStr">
        <is>
          <t>S24-18</t>
        </is>
      </c>
    </row>
    <row r="492">
      <c r="A492" s="2" t="n">
        <v>45417</v>
      </c>
      <c r="B492" s="3" t="n">
        <v>2024</v>
      </c>
      <c r="C492" s="3" t="n">
        <v>5</v>
      </c>
      <c r="D492" s="3" t="n">
        <v>18</v>
      </c>
      <c r="E492" s="3" t="inlineStr">
        <is>
          <t>S24-18</t>
        </is>
      </c>
    </row>
    <row r="493">
      <c r="A493" s="2" t="n">
        <v>45418</v>
      </c>
      <c r="B493" s="3" t="n">
        <v>2024</v>
      </c>
      <c r="C493" s="3" t="n">
        <v>5</v>
      </c>
      <c r="D493" s="3" t="n">
        <v>19</v>
      </c>
      <c r="E493" s="3" t="inlineStr">
        <is>
          <t>S24-19</t>
        </is>
      </c>
    </row>
    <row r="494">
      <c r="A494" s="2" t="n">
        <v>45419</v>
      </c>
      <c r="B494" s="3" t="n">
        <v>2024</v>
      </c>
      <c r="C494" s="3" t="n">
        <v>5</v>
      </c>
      <c r="D494" s="3" t="n">
        <v>19</v>
      </c>
      <c r="E494" s="3" t="inlineStr">
        <is>
          <t>S24-19</t>
        </is>
      </c>
    </row>
    <row r="495">
      <c r="A495" s="2" t="n">
        <v>45420</v>
      </c>
      <c r="B495" s="3" t="n">
        <v>2024</v>
      </c>
      <c r="C495" s="3" t="n">
        <v>5</v>
      </c>
      <c r="D495" s="3" t="n">
        <v>19</v>
      </c>
      <c r="E495" s="3" t="inlineStr">
        <is>
          <t>S24-19</t>
        </is>
      </c>
    </row>
    <row r="496">
      <c r="A496" s="2" t="n">
        <v>45421</v>
      </c>
      <c r="B496" s="3" t="n">
        <v>2024</v>
      </c>
      <c r="C496" s="3" t="n">
        <v>5</v>
      </c>
      <c r="D496" s="3" t="n">
        <v>19</v>
      </c>
      <c r="E496" s="3" t="inlineStr">
        <is>
          <t>S24-19</t>
        </is>
      </c>
    </row>
    <row r="497">
      <c r="A497" s="2" t="n">
        <v>45422</v>
      </c>
      <c r="B497" s="3" t="n">
        <v>2024</v>
      </c>
      <c r="C497" s="3" t="n">
        <v>5</v>
      </c>
      <c r="D497" s="3" t="n">
        <v>19</v>
      </c>
      <c r="E497" s="3" t="inlineStr">
        <is>
          <t>S24-19</t>
        </is>
      </c>
    </row>
    <row r="498">
      <c r="A498" s="2" t="n">
        <v>45423</v>
      </c>
      <c r="B498" s="3" t="n">
        <v>2024</v>
      </c>
      <c r="C498" s="3" t="n">
        <v>5</v>
      </c>
      <c r="D498" s="3" t="n">
        <v>19</v>
      </c>
      <c r="E498" s="3" t="inlineStr">
        <is>
          <t>S24-19</t>
        </is>
      </c>
    </row>
    <row r="499">
      <c r="A499" s="2" t="n">
        <v>45424</v>
      </c>
      <c r="B499" s="3" t="n">
        <v>2024</v>
      </c>
      <c r="C499" s="3" t="n">
        <v>5</v>
      </c>
      <c r="D499" s="3" t="n">
        <v>19</v>
      </c>
      <c r="E499" s="3" t="inlineStr">
        <is>
          <t>S24-19</t>
        </is>
      </c>
    </row>
    <row r="500">
      <c r="A500" s="2" t="n">
        <v>45425</v>
      </c>
      <c r="B500" s="3" t="n">
        <v>2024</v>
      </c>
      <c r="C500" s="3" t="n">
        <v>5</v>
      </c>
      <c r="D500" s="3" t="n">
        <v>20</v>
      </c>
      <c r="E500" s="3" t="inlineStr">
        <is>
          <t>S24-20</t>
        </is>
      </c>
    </row>
    <row r="501">
      <c r="A501" s="2" t="n">
        <v>45426</v>
      </c>
      <c r="B501" s="3" t="n">
        <v>2024</v>
      </c>
      <c r="C501" s="3" t="n">
        <v>5</v>
      </c>
      <c r="D501" s="3" t="n">
        <v>20</v>
      </c>
      <c r="E501" s="3" t="inlineStr">
        <is>
          <t>S24-20</t>
        </is>
      </c>
    </row>
    <row r="502">
      <c r="A502" s="2" t="n">
        <v>45427</v>
      </c>
      <c r="B502" s="3" t="n">
        <v>2024</v>
      </c>
      <c r="C502" s="3" t="n">
        <v>5</v>
      </c>
      <c r="D502" s="3" t="n">
        <v>20</v>
      </c>
      <c r="E502" s="3" t="inlineStr">
        <is>
          <t>S24-20</t>
        </is>
      </c>
    </row>
    <row r="503">
      <c r="A503" s="2" t="n">
        <v>45428</v>
      </c>
      <c r="B503" s="3" t="n">
        <v>2024</v>
      </c>
      <c r="C503" s="3" t="n">
        <v>5</v>
      </c>
      <c r="D503" s="3" t="n">
        <v>20</v>
      </c>
      <c r="E503" s="3" t="inlineStr">
        <is>
          <t>S24-20</t>
        </is>
      </c>
    </row>
    <row r="504">
      <c r="A504" s="2" t="n">
        <v>45429</v>
      </c>
      <c r="B504" s="3" t="n">
        <v>2024</v>
      </c>
      <c r="C504" s="3" t="n">
        <v>5</v>
      </c>
      <c r="D504" s="3" t="n">
        <v>20</v>
      </c>
      <c r="E504" s="3" t="inlineStr">
        <is>
          <t>S24-20</t>
        </is>
      </c>
    </row>
    <row r="505">
      <c r="A505" s="2" t="n">
        <v>45430</v>
      </c>
      <c r="B505" s="3" t="n">
        <v>2024</v>
      </c>
      <c r="C505" s="3" t="n">
        <v>5</v>
      </c>
      <c r="D505" s="3" t="n">
        <v>20</v>
      </c>
      <c r="E505" s="3" t="inlineStr">
        <is>
          <t>S24-20</t>
        </is>
      </c>
    </row>
    <row r="506">
      <c r="A506" s="2" t="n">
        <v>45431</v>
      </c>
      <c r="B506" s="3" t="n">
        <v>2024</v>
      </c>
      <c r="C506" s="3" t="n">
        <v>5</v>
      </c>
      <c r="D506" s="3" t="n">
        <v>20</v>
      </c>
      <c r="E506" s="3" t="inlineStr">
        <is>
          <t>S24-20</t>
        </is>
      </c>
    </row>
    <row r="507">
      <c r="A507" s="2" t="n">
        <v>45432</v>
      </c>
      <c r="B507" s="3" t="n">
        <v>2024</v>
      </c>
      <c r="C507" s="3" t="n">
        <v>5</v>
      </c>
      <c r="D507" s="3" t="n">
        <v>21</v>
      </c>
      <c r="E507" s="3" t="inlineStr">
        <is>
          <t>S24-21</t>
        </is>
      </c>
    </row>
    <row r="508">
      <c r="A508" s="2" t="n">
        <v>45433</v>
      </c>
      <c r="B508" s="3" t="n">
        <v>2024</v>
      </c>
      <c r="C508" s="3" t="n">
        <v>5</v>
      </c>
      <c r="D508" s="3" t="n">
        <v>21</v>
      </c>
      <c r="E508" s="3" t="inlineStr">
        <is>
          <t>S24-21</t>
        </is>
      </c>
    </row>
    <row r="509">
      <c r="A509" s="2" t="n">
        <v>45434</v>
      </c>
      <c r="B509" s="3" t="n">
        <v>2024</v>
      </c>
      <c r="C509" s="3" t="n">
        <v>5</v>
      </c>
      <c r="D509" s="3" t="n">
        <v>21</v>
      </c>
      <c r="E509" s="3" t="inlineStr">
        <is>
          <t>S24-21</t>
        </is>
      </c>
    </row>
    <row r="510">
      <c r="A510" s="2" t="n">
        <v>45435</v>
      </c>
      <c r="B510" s="3" t="n">
        <v>2024</v>
      </c>
      <c r="C510" s="3" t="n">
        <v>5</v>
      </c>
      <c r="D510" s="3" t="n">
        <v>21</v>
      </c>
      <c r="E510" s="3" t="inlineStr">
        <is>
          <t>S24-21</t>
        </is>
      </c>
    </row>
    <row r="511">
      <c r="A511" s="2" t="n">
        <v>45436</v>
      </c>
      <c r="B511" s="3" t="n">
        <v>2024</v>
      </c>
      <c r="C511" s="3" t="n">
        <v>5</v>
      </c>
      <c r="D511" s="3" t="n">
        <v>21</v>
      </c>
      <c r="E511" s="3" t="inlineStr">
        <is>
          <t>S24-21</t>
        </is>
      </c>
    </row>
    <row r="512">
      <c r="A512" s="2" t="n">
        <v>45437</v>
      </c>
      <c r="B512" s="3" t="n">
        <v>2024</v>
      </c>
      <c r="C512" s="3" t="n">
        <v>5</v>
      </c>
      <c r="D512" s="3" t="n">
        <v>21</v>
      </c>
      <c r="E512" s="3" t="inlineStr">
        <is>
          <t>S24-21</t>
        </is>
      </c>
    </row>
    <row r="513">
      <c r="A513" s="2" t="n">
        <v>45438</v>
      </c>
      <c r="B513" s="3" t="n">
        <v>2024</v>
      </c>
      <c r="C513" s="3" t="n">
        <v>5</v>
      </c>
      <c r="D513" s="3" t="n">
        <v>21</v>
      </c>
      <c r="E513" s="3" t="inlineStr">
        <is>
          <t>S24-21</t>
        </is>
      </c>
    </row>
    <row r="514">
      <c r="A514" s="2" t="n">
        <v>45439</v>
      </c>
      <c r="B514" s="3" t="n">
        <v>2024</v>
      </c>
      <c r="C514" s="3" t="n">
        <v>5</v>
      </c>
      <c r="D514" s="3" t="n">
        <v>22</v>
      </c>
      <c r="E514" s="3" t="inlineStr">
        <is>
          <t>S24-22</t>
        </is>
      </c>
    </row>
    <row r="515">
      <c r="A515" s="2" t="n">
        <v>45440</v>
      </c>
      <c r="B515" s="3" t="n">
        <v>2024</v>
      </c>
      <c r="C515" s="3" t="n">
        <v>5</v>
      </c>
      <c r="D515" s="3" t="n">
        <v>22</v>
      </c>
      <c r="E515" s="3" t="inlineStr">
        <is>
          <t>S24-22</t>
        </is>
      </c>
    </row>
    <row r="516">
      <c r="A516" s="2" t="n">
        <v>45441</v>
      </c>
      <c r="B516" s="3" t="n">
        <v>2024</v>
      </c>
      <c r="C516" s="3" t="n">
        <v>5</v>
      </c>
      <c r="D516" s="3" t="n">
        <v>22</v>
      </c>
      <c r="E516" s="3" t="inlineStr">
        <is>
          <t>S24-22</t>
        </is>
      </c>
    </row>
    <row r="517">
      <c r="A517" s="2" t="n">
        <v>45442</v>
      </c>
      <c r="B517" s="3" t="n">
        <v>2024</v>
      </c>
      <c r="C517" s="3" t="n">
        <v>5</v>
      </c>
      <c r="D517" s="3" t="n">
        <v>22</v>
      </c>
      <c r="E517" s="3" t="inlineStr">
        <is>
          <t>S24-22</t>
        </is>
      </c>
    </row>
    <row r="518">
      <c r="A518" s="2" t="n">
        <v>45443</v>
      </c>
      <c r="B518" s="3" t="n">
        <v>2024</v>
      </c>
      <c r="C518" s="3" t="n">
        <v>5</v>
      </c>
      <c r="D518" s="3" t="n">
        <v>22</v>
      </c>
      <c r="E518" s="3" t="inlineStr">
        <is>
          <t>S24-22</t>
        </is>
      </c>
    </row>
    <row r="519">
      <c r="A519" s="2" t="n">
        <v>45444</v>
      </c>
      <c r="B519" s="3" t="n">
        <v>2024</v>
      </c>
      <c r="C519" s="3" t="n">
        <v>6</v>
      </c>
      <c r="D519" s="3" t="n">
        <v>22</v>
      </c>
      <c r="E519" s="3" t="inlineStr">
        <is>
          <t>S24-22</t>
        </is>
      </c>
    </row>
    <row r="520">
      <c r="A520" s="2" t="n">
        <v>45445</v>
      </c>
      <c r="B520" s="3" t="n">
        <v>2024</v>
      </c>
      <c r="C520" s="3" t="n">
        <v>6</v>
      </c>
      <c r="D520" s="3" t="n">
        <v>22</v>
      </c>
      <c r="E520" s="3" t="inlineStr">
        <is>
          <t>S24-22</t>
        </is>
      </c>
    </row>
    <row r="521">
      <c r="A521" s="2" t="n">
        <v>45446</v>
      </c>
      <c r="B521" s="3" t="n">
        <v>2024</v>
      </c>
      <c r="C521" s="3" t="n">
        <v>6</v>
      </c>
      <c r="D521" s="3" t="n">
        <v>23</v>
      </c>
      <c r="E521" s="3" t="inlineStr">
        <is>
          <t>S24-23</t>
        </is>
      </c>
    </row>
    <row r="522">
      <c r="A522" s="2" t="n">
        <v>45447</v>
      </c>
      <c r="B522" s="3" t="n">
        <v>2024</v>
      </c>
      <c r="C522" s="3" t="n">
        <v>6</v>
      </c>
      <c r="D522" s="3" t="n">
        <v>23</v>
      </c>
      <c r="E522" s="3" t="inlineStr">
        <is>
          <t>S24-23</t>
        </is>
      </c>
    </row>
    <row r="523">
      <c r="A523" s="2" t="n">
        <v>45448</v>
      </c>
      <c r="B523" s="3" t="n">
        <v>2024</v>
      </c>
      <c r="C523" s="3" t="n">
        <v>6</v>
      </c>
      <c r="D523" s="3" t="n">
        <v>23</v>
      </c>
      <c r="E523" s="3" t="inlineStr">
        <is>
          <t>S24-23</t>
        </is>
      </c>
    </row>
    <row r="524">
      <c r="A524" s="2" t="n">
        <v>45449</v>
      </c>
      <c r="B524" s="3" t="n">
        <v>2024</v>
      </c>
      <c r="C524" s="3" t="n">
        <v>6</v>
      </c>
      <c r="D524" s="3" t="n">
        <v>23</v>
      </c>
      <c r="E524" s="3" t="inlineStr">
        <is>
          <t>S24-23</t>
        </is>
      </c>
    </row>
    <row r="525">
      <c r="A525" s="2" t="n">
        <v>45450</v>
      </c>
      <c r="B525" s="3" t="n">
        <v>2024</v>
      </c>
      <c r="C525" s="3" t="n">
        <v>6</v>
      </c>
      <c r="D525" s="3" t="n">
        <v>23</v>
      </c>
      <c r="E525" s="3" t="inlineStr">
        <is>
          <t>S24-23</t>
        </is>
      </c>
    </row>
    <row r="526">
      <c r="A526" s="2" t="n">
        <v>45451</v>
      </c>
      <c r="B526" s="3" t="n">
        <v>2024</v>
      </c>
      <c r="C526" s="3" t="n">
        <v>6</v>
      </c>
      <c r="D526" s="3" t="n">
        <v>23</v>
      </c>
      <c r="E526" s="3" t="inlineStr">
        <is>
          <t>S24-23</t>
        </is>
      </c>
    </row>
    <row r="527">
      <c r="A527" s="2" t="n">
        <v>45452</v>
      </c>
      <c r="B527" s="3" t="n">
        <v>2024</v>
      </c>
      <c r="C527" s="3" t="n">
        <v>6</v>
      </c>
      <c r="D527" s="3" t="n">
        <v>23</v>
      </c>
      <c r="E527" s="3" t="inlineStr">
        <is>
          <t>S24-23</t>
        </is>
      </c>
    </row>
    <row r="528">
      <c r="A528" s="2" t="n">
        <v>45453</v>
      </c>
      <c r="B528" s="3" t="n">
        <v>2024</v>
      </c>
      <c r="C528" s="3" t="n">
        <v>6</v>
      </c>
      <c r="D528" s="3" t="n">
        <v>24</v>
      </c>
      <c r="E528" s="3" t="inlineStr">
        <is>
          <t>S24-24</t>
        </is>
      </c>
    </row>
    <row r="529">
      <c r="A529" s="2" t="n">
        <v>45454</v>
      </c>
      <c r="B529" s="3" t="n">
        <v>2024</v>
      </c>
      <c r="C529" s="3" t="n">
        <v>6</v>
      </c>
      <c r="D529" s="3" t="n">
        <v>24</v>
      </c>
      <c r="E529" s="3" t="inlineStr">
        <is>
          <t>S24-24</t>
        </is>
      </c>
    </row>
    <row r="530">
      <c r="A530" s="2" t="n">
        <v>45455</v>
      </c>
      <c r="B530" s="3" t="n">
        <v>2024</v>
      </c>
      <c r="C530" s="3" t="n">
        <v>6</v>
      </c>
      <c r="D530" s="3" t="n">
        <v>24</v>
      </c>
      <c r="E530" s="3" t="inlineStr">
        <is>
          <t>S24-24</t>
        </is>
      </c>
    </row>
    <row r="531">
      <c r="A531" s="2" t="n">
        <v>45456</v>
      </c>
      <c r="B531" s="3" t="n">
        <v>2024</v>
      </c>
      <c r="C531" s="3" t="n">
        <v>6</v>
      </c>
      <c r="D531" s="3" t="n">
        <v>24</v>
      </c>
      <c r="E531" s="3" t="inlineStr">
        <is>
          <t>S24-24</t>
        </is>
      </c>
    </row>
    <row r="532">
      <c r="A532" s="2" t="n">
        <v>45457</v>
      </c>
      <c r="B532" s="3" t="n">
        <v>2024</v>
      </c>
      <c r="C532" s="3" t="n">
        <v>6</v>
      </c>
      <c r="D532" s="3" t="n">
        <v>24</v>
      </c>
      <c r="E532" s="3" t="inlineStr">
        <is>
          <t>S24-24</t>
        </is>
      </c>
    </row>
    <row r="533">
      <c r="A533" s="2" t="n">
        <v>45458</v>
      </c>
      <c r="B533" s="3" t="n">
        <v>2024</v>
      </c>
      <c r="C533" s="3" t="n">
        <v>6</v>
      </c>
      <c r="D533" s="3" t="n">
        <v>24</v>
      </c>
      <c r="E533" s="3" t="inlineStr">
        <is>
          <t>S24-24</t>
        </is>
      </c>
    </row>
    <row r="534">
      <c r="A534" s="2" t="n">
        <v>45459</v>
      </c>
      <c r="B534" s="3" t="n">
        <v>2024</v>
      </c>
      <c r="C534" s="3" t="n">
        <v>6</v>
      </c>
      <c r="D534" s="3" t="n">
        <v>24</v>
      </c>
      <c r="E534" s="3" t="inlineStr">
        <is>
          <t>S24-24</t>
        </is>
      </c>
    </row>
    <row r="535">
      <c r="A535" s="2" t="n">
        <v>45460</v>
      </c>
      <c r="B535" s="3" t="n">
        <v>2024</v>
      </c>
      <c r="C535" s="3" t="n">
        <v>6</v>
      </c>
      <c r="D535" s="3" t="n">
        <v>25</v>
      </c>
      <c r="E535" s="3" t="inlineStr">
        <is>
          <t>S24-25</t>
        </is>
      </c>
    </row>
    <row r="536">
      <c r="A536" s="2" t="n">
        <v>45461</v>
      </c>
      <c r="B536" s="3" t="n">
        <v>2024</v>
      </c>
      <c r="C536" s="3" t="n">
        <v>6</v>
      </c>
      <c r="D536" s="3" t="n">
        <v>25</v>
      </c>
      <c r="E536" s="3" t="inlineStr">
        <is>
          <t>S24-25</t>
        </is>
      </c>
    </row>
    <row r="537">
      <c r="A537" s="2" t="n">
        <v>45462</v>
      </c>
      <c r="B537" s="3" t="n">
        <v>2024</v>
      </c>
      <c r="C537" s="3" t="n">
        <v>6</v>
      </c>
      <c r="D537" s="3" t="n">
        <v>25</v>
      </c>
      <c r="E537" s="3" t="inlineStr">
        <is>
          <t>S24-25</t>
        </is>
      </c>
    </row>
    <row r="538">
      <c r="A538" s="2" t="n">
        <v>45463</v>
      </c>
      <c r="B538" s="3" t="n">
        <v>2024</v>
      </c>
      <c r="C538" s="3" t="n">
        <v>6</v>
      </c>
      <c r="D538" s="3" t="n">
        <v>25</v>
      </c>
      <c r="E538" s="3" t="inlineStr">
        <is>
          <t>S24-25</t>
        </is>
      </c>
    </row>
    <row r="539">
      <c r="A539" s="2" t="n">
        <v>45464</v>
      </c>
      <c r="B539" s="3" t="n">
        <v>2024</v>
      </c>
      <c r="C539" s="3" t="n">
        <v>6</v>
      </c>
      <c r="D539" s="3" t="n">
        <v>25</v>
      </c>
      <c r="E539" s="3" t="inlineStr">
        <is>
          <t>S24-25</t>
        </is>
      </c>
    </row>
    <row r="540">
      <c r="A540" s="2" t="n">
        <v>45465</v>
      </c>
      <c r="B540" s="3" t="n">
        <v>2024</v>
      </c>
      <c r="C540" s="3" t="n">
        <v>6</v>
      </c>
      <c r="D540" s="3" t="n">
        <v>25</v>
      </c>
      <c r="E540" s="3" t="inlineStr">
        <is>
          <t>S24-25</t>
        </is>
      </c>
    </row>
    <row r="541">
      <c r="A541" s="2" t="n">
        <v>45466</v>
      </c>
      <c r="B541" s="3" t="n">
        <v>2024</v>
      </c>
      <c r="C541" s="3" t="n">
        <v>6</v>
      </c>
      <c r="D541" s="3" t="n">
        <v>25</v>
      </c>
      <c r="E541" s="3" t="inlineStr">
        <is>
          <t>S24-25</t>
        </is>
      </c>
    </row>
    <row r="542">
      <c r="A542" s="2" t="n">
        <v>45467</v>
      </c>
      <c r="B542" s="3" t="n">
        <v>2024</v>
      </c>
      <c r="C542" s="3" t="n">
        <v>6</v>
      </c>
      <c r="D542" s="3" t="n">
        <v>26</v>
      </c>
      <c r="E542" s="3" t="inlineStr">
        <is>
          <t>S24-26</t>
        </is>
      </c>
    </row>
    <row r="543">
      <c r="A543" s="2" t="n">
        <v>45468</v>
      </c>
      <c r="B543" s="3" t="n">
        <v>2024</v>
      </c>
      <c r="C543" s="3" t="n">
        <v>6</v>
      </c>
      <c r="D543" s="3" t="n">
        <v>26</v>
      </c>
      <c r="E543" s="3" t="inlineStr">
        <is>
          <t>S24-26</t>
        </is>
      </c>
    </row>
    <row r="544">
      <c r="A544" s="2" t="n">
        <v>45469</v>
      </c>
      <c r="B544" s="3" t="n">
        <v>2024</v>
      </c>
      <c r="C544" s="3" t="n">
        <v>6</v>
      </c>
      <c r="D544" s="3" t="n">
        <v>26</v>
      </c>
      <c r="E544" s="3" t="inlineStr">
        <is>
          <t>S24-26</t>
        </is>
      </c>
    </row>
    <row r="545">
      <c r="A545" s="2" t="n">
        <v>45470</v>
      </c>
      <c r="B545" s="3" t="n">
        <v>2024</v>
      </c>
      <c r="C545" s="3" t="n">
        <v>6</v>
      </c>
      <c r="D545" s="3" t="n">
        <v>26</v>
      </c>
      <c r="E545" s="3" t="inlineStr">
        <is>
          <t>S24-26</t>
        </is>
      </c>
    </row>
    <row r="546">
      <c r="A546" s="2" t="n">
        <v>45471</v>
      </c>
      <c r="B546" s="3" t="n">
        <v>2024</v>
      </c>
      <c r="C546" s="3" t="n">
        <v>6</v>
      </c>
      <c r="D546" s="3" t="n">
        <v>26</v>
      </c>
      <c r="E546" s="3" t="inlineStr">
        <is>
          <t>S24-26</t>
        </is>
      </c>
    </row>
    <row r="547">
      <c r="A547" s="2" t="n">
        <v>45472</v>
      </c>
      <c r="B547" s="3" t="n">
        <v>2024</v>
      </c>
      <c r="C547" s="3" t="n">
        <v>6</v>
      </c>
      <c r="D547" s="3" t="n">
        <v>26</v>
      </c>
      <c r="E547" s="3" t="inlineStr">
        <is>
          <t>S24-26</t>
        </is>
      </c>
    </row>
    <row r="548">
      <c r="A548" s="2" t="n">
        <v>45473</v>
      </c>
      <c r="B548" s="3" t="n">
        <v>2024</v>
      </c>
      <c r="C548" s="3" t="n">
        <v>6</v>
      </c>
      <c r="D548" s="3" t="n">
        <v>26</v>
      </c>
      <c r="E548" s="3" t="inlineStr">
        <is>
          <t>S24-26</t>
        </is>
      </c>
    </row>
    <row r="549">
      <c r="A549" s="2" t="n">
        <v>45474</v>
      </c>
      <c r="B549" s="3" t="n">
        <v>2024</v>
      </c>
      <c r="C549" s="3" t="n">
        <v>7</v>
      </c>
      <c r="D549" s="3" t="n">
        <v>27</v>
      </c>
      <c r="E549" s="3" t="inlineStr">
        <is>
          <t>S24-27</t>
        </is>
      </c>
    </row>
    <row r="550">
      <c r="A550" s="2" t="n">
        <v>45475</v>
      </c>
      <c r="B550" s="3" t="n">
        <v>2024</v>
      </c>
      <c r="C550" s="3" t="n">
        <v>7</v>
      </c>
      <c r="D550" s="3" t="n">
        <v>27</v>
      </c>
      <c r="E550" s="3" t="inlineStr">
        <is>
          <t>S24-27</t>
        </is>
      </c>
    </row>
    <row r="551">
      <c r="A551" s="2" t="n">
        <v>45476</v>
      </c>
      <c r="B551" s="3" t="n">
        <v>2024</v>
      </c>
      <c r="C551" s="3" t="n">
        <v>7</v>
      </c>
      <c r="D551" s="3" t="n">
        <v>27</v>
      </c>
      <c r="E551" s="3" t="inlineStr">
        <is>
          <t>S24-27</t>
        </is>
      </c>
    </row>
    <row r="552">
      <c r="A552" s="2" t="n">
        <v>45477</v>
      </c>
      <c r="B552" s="3" t="n">
        <v>2024</v>
      </c>
      <c r="C552" s="3" t="n">
        <v>7</v>
      </c>
      <c r="D552" s="3" t="n">
        <v>27</v>
      </c>
      <c r="E552" s="3" t="inlineStr">
        <is>
          <t>S24-27</t>
        </is>
      </c>
    </row>
    <row r="553">
      <c r="A553" s="2" t="n">
        <v>45478</v>
      </c>
      <c r="B553" s="3" t="n">
        <v>2024</v>
      </c>
      <c r="C553" s="3" t="n">
        <v>7</v>
      </c>
      <c r="D553" s="3" t="n">
        <v>27</v>
      </c>
      <c r="E553" s="3" t="inlineStr">
        <is>
          <t>S24-27</t>
        </is>
      </c>
    </row>
    <row r="554">
      <c r="A554" s="2" t="n">
        <v>45479</v>
      </c>
      <c r="B554" s="3" t="n">
        <v>2024</v>
      </c>
      <c r="C554" s="3" t="n">
        <v>7</v>
      </c>
      <c r="D554" s="3" t="n">
        <v>27</v>
      </c>
      <c r="E554" s="3" t="inlineStr">
        <is>
          <t>S24-27</t>
        </is>
      </c>
    </row>
    <row r="555">
      <c r="A555" s="2" t="n">
        <v>45480</v>
      </c>
      <c r="B555" s="3" t="n">
        <v>2024</v>
      </c>
      <c r="C555" s="3" t="n">
        <v>7</v>
      </c>
      <c r="D555" s="3" t="n">
        <v>27</v>
      </c>
      <c r="E555" s="3" t="inlineStr">
        <is>
          <t>S24-27</t>
        </is>
      </c>
    </row>
    <row r="556">
      <c r="A556" s="2" t="n">
        <v>45481</v>
      </c>
      <c r="B556" s="3" t="n">
        <v>2024</v>
      </c>
      <c r="C556" s="3" t="n">
        <v>7</v>
      </c>
      <c r="D556" s="3" t="n">
        <v>28</v>
      </c>
      <c r="E556" s="3" t="inlineStr">
        <is>
          <t>S24-28</t>
        </is>
      </c>
    </row>
    <row r="557">
      <c r="A557" s="2" t="n">
        <v>45482</v>
      </c>
      <c r="B557" s="3" t="n">
        <v>2024</v>
      </c>
      <c r="C557" s="3" t="n">
        <v>7</v>
      </c>
      <c r="D557" s="3" t="n">
        <v>28</v>
      </c>
      <c r="E557" s="3" t="inlineStr">
        <is>
          <t>S24-28</t>
        </is>
      </c>
    </row>
    <row r="558">
      <c r="A558" s="2" t="n">
        <v>45483</v>
      </c>
      <c r="B558" s="3" t="n">
        <v>2024</v>
      </c>
      <c r="C558" s="3" t="n">
        <v>7</v>
      </c>
      <c r="D558" s="3" t="n">
        <v>28</v>
      </c>
      <c r="E558" s="3" t="inlineStr">
        <is>
          <t>S24-28</t>
        </is>
      </c>
    </row>
    <row r="559">
      <c r="A559" s="2" t="n">
        <v>45484</v>
      </c>
      <c r="B559" s="3" t="n">
        <v>2024</v>
      </c>
      <c r="C559" s="3" t="n">
        <v>7</v>
      </c>
      <c r="D559" s="3" t="n">
        <v>28</v>
      </c>
      <c r="E559" s="3" t="inlineStr">
        <is>
          <t>S24-28</t>
        </is>
      </c>
    </row>
    <row r="560">
      <c r="A560" s="2" t="n">
        <v>45485</v>
      </c>
      <c r="B560" s="3" t="n">
        <v>2024</v>
      </c>
      <c r="C560" s="3" t="n">
        <v>7</v>
      </c>
      <c r="D560" s="3" t="n">
        <v>28</v>
      </c>
      <c r="E560" s="3" t="inlineStr">
        <is>
          <t>S24-28</t>
        </is>
      </c>
    </row>
    <row r="561">
      <c r="A561" s="2" t="n">
        <v>45486</v>
      </c>
      <c r="B561" s="3" t="n">
        <v>2024</v>
      </c>
      <c r="C561" s="3" t="n">
        <v>7</v>
      </c>
      <c r="D561" s="3" t="n">
        <v>28</v>
      </c>
      <c r="E561" s="3" t="inlineStr">
        <is>
          <t>S24-28</t>
        </is>
      </c>
    </row>
    <row r="562">
      <c r="A562" s="2" t="n">
        <v>45487</v>
      </c>
      <c r="B562" s="3" t="n">
        <v>2024</v>
      </c>
      <c r="C562" s="3" t="n">
        <v>7</v>
      </c>
      <c r="D562" s="3" t="n">
        <v>28</v>
      </c>
      <c r="E562" s="3" t="inlineStr">
        <is>
          <t>S24-28</t>
        </is>
      </c>
    </row>
    <row r="563">
      <c r="A563" s="2" t="n">
        <v>45488</v>
      </c>
      <c r="B563" s="3" t="n">
        <v>2024</v>
      </c>
      <c r="C563" s="3" t="n">
        <v>7</v>
      </c>
      <c r="D563" s="3" t="n">
        <v>29</v>
      </c>
      <c r="E563" s="3" t="inlineStr">
        <is>
          <t>S24-29</t>
        </is>
      </c>
    </row>
    <row r="564">
      <c r="A564" s="2" t="n">
        <v>45489</v>
      </c>
      <c r="B564" s="3" t="n">
        <v>2024</v>
      </c>
      <c r="C564" s="3" t="n">
        <v>7</v>
      </c>
      <c r="D564" s="3" t="n">
        <v>29</v>
      </c>
      <c r="E564" s="3" t="inlineStr">
        <is>
          <t>S24-29</t>
        </is>
      </c>
    </row>
    <row r="565">
      <c r="A565" s="2" t="n">
        <v>45490</v>
      </c>
      <c r="B565" s="3" t="n">
        <v>2024</v>
      </c>
      <c r="C565" s="3" t="n">
        <v>7</v>
      </c>
      <c r="D565" s="3" t="n">
        <v>29</v>
      </c>
      <c r="E565" s="3" t="inlineStr">
        <is>
          <t>S24-29</t>
        </is>
      </c>
    </row>
    <row r="566">
      <c r="A566" s="2" t="n">
        <v>45491</v>
      </c>
      <c r="B566" s="3" t="n">
        <v>2024</v>
      </c>
      <c r="C566" s="3" t="n">
        <v>7</v>
      </c>
      <c r="D566" s="3" t="n">
        <v>29</v>
      </c>
      <c r="E566" s="3" t="inlineStr">
        <is>
          <t>S24-29</t>
        </is>
      </c>
    </row>
    <row r="567">
      <c r="A567" s="2" t="n">
        <v>45492</v>
      </c>
      <c r="B567" s="3" t="n">
        <v>2024</v>
      </c>
      <c r="C567" s="3" t="n">
        <v>7</v>
      </c>
      <c r="D567" s="3" t="n">
        <v>29</v>
      </c>
      <c r="E567" s="3" t="inlineStr">
        <is>
          <t>S24-29</t>
        </is>
      </c>
    </row>
    <row r="568">
      <c r="A568" s="2" t="n">
        <v>45493</v>
      </c>
      <c r="B568" s="3" t="n">
        <v>2024</v>
      </c>
      <c r="C568" s="3" t="n">
        <v>7</v>
      </c>
      <c r="D568" s="3" t="n">
        <v>29</v>
      </c>
      <c r="E568" s="3" t="inlineStr">
        <is>
          <t>S24-29</t>
        </is>
      </c>
    </row>
    <row r="569">
      <c r="A569" s="2" t="n">
        <v>45494</v>
      </c>
      <c r="B569" s="3" t="n">
        <v>2024</v>
      </c>
      <c r="C569" s="3" t="n">
        <v>7</v>
      </c>
      <c r="D569" s="3" t="n">
        <v>29</v>
      </c>
      <c r="E569" s="3" t="inlineStr">
        <is>
          <t>S24-29</t>
        </is>
      </c>
    </row>
    <row r="570">
      <c r="A570" s="2" t="n">
        <v>45495</v>
      </c>
      <c r="B570" s="3" t="n">
        <v>2024</v>
      </c>
      <c r="C570" s="3" t="n">
        <v>7</v>
      </c>
      <c r="D570" s="3" t="n">
        <v>30</v>
      </c>
      <c r="E570" s="3" t="inlineStr">
        <is>
          <t>S24-30</t>
        </is>
      </c>
    </row>
    <row r="571">
      <c r="A571" s="2" t="n">
        <v>45496</v>
      </c>
      <c r="B571" s="3" t="n">
        <v>2024</v>
      </c>
      <c r="C571" s="3" t="n">
        <v>7</v>
      </c>
      <c r="D571" s="3" t="n">
        <v>30</v>
      </c>
      <c r="E571" s="3" t="inlineStr">
        <is>
          <t>S24-30</t>
        </is>
      </c>
    </row>
    <row r="572">
      <c r="A572" s="2" t="n">
        <v>45497</v>
      </c>
      <c r="B572" s="3" t="n">
        <v>2024</v>
      </c>
      <c r="C572" s="3" t="n">
        <v>7</v>
      </c>
      <c r="D572" s="3" t="n">
        <v>30</v>
      </c>
      <c r="E572" s="3" t="inlineStr">
        <is>
          <t>S24-30</t>
        </is>
      </c>
    </row>
    <row r="573">
      <c r="A573" s="2" t="n">
        <v>45498</v>
      </c>
      <c r="B573" s="3" t="n">
        <v>2024</v>
      </c>
      <c r="C573" s="3" t="n">
        <v>7</v>
      </c>
      <c r="D573" s="3" t="n">
        <v>30</v>
      </c>
      <c r="E573" s="3" t="inlineStr">
        <is>
          <t>S24-30</t>
        </is>
      </c>
    </row>
    <row r="574">
      <c r="A574" s="2" t="n">
        <v>45499</v>
      </c>
      <c r="B574" s="3" t="n">
        <v>2024</v>
      </c>
      <c r="C574" s="3" t="n">
        <v>7</v>
      </c>
      <c r="D574" s="3" t="n">
        <v>30</v>
      </c>
      <c r="E574" s="3" t="inlineStr">
        <is>
          <t>S24-30</t>
        </is>
      </c>
    </row>
    <row r="575">
      <c r="A575" s="2" t="n">
        <v>45500</v>
      </c>
      <c r="B575" s="3" t="n">
        <v>2024</v>
      </c>
      <c r="C575" s="3" t="n">
        <v>7</v>
      </c>
      <c r="D575" s="3" t="n">
        <v>30</v>
      </c>
      <c r="E575" s="3" t="inlineStr">
        <is>
          <t>S24-30</t>
        </is>
      </c>
    </row>
    <row r="576">
      <c r="A576" s="2" t="n">
        <v>45501</v>
      </c>
      <c r="B576" s="3" t="n">
        <v>2024</v>
      </c>
      <c r="C576" s="3" t="n">
        <v>7</v>
      </c>
      <c r="D576" s="3" t="n">
        <v>30</v>
      </c>
      <c r="E576" s="3" t="inlineStr">
        <is>
          <t>S24-30</t>
        </is>
      </c>
    </row>
    <row r="577">
      <c r="A577" s="2" t="n">
        <v>45502</v>
      </c>
      <c r="B577" s="3" t="n">
        <v>2024</v>
      </c>
      <c r="C577" s="3" t="n">
        <v>7</v>
      </c>
      <c r="D577" s="3" t="n">
        <v>31</v>
      </c>
      <c r="E577" s="3" t="inlineStr">
        <is>
          <t>S24-31</t>
        </is>
      </c>
    </row>
    <row r="578">
      <c r="A578" s="2" t="n">
        <v>45503</v>
      </c>
      <c r="B578" s="3" t="n">
        <v>2024</v>
      </c>
      <c r="C578" s="3" t="n">
        <v>7</v>
      </c>
      <c r="D578" s="3" t="n">
        <v>31</v>
      </c>
      <c r="E578" s="3" t="inlineStr">
        <is>
          <t>S24-31</t>
        </is>
      </c>
    </row>
    <row r="579">
      <c r="A579" s="2" t="n">
        <v>45504</v>
      </c>
      <c r="B579" s="3" t="n">
        <v>2024</v>
      </c>
      <c r="C579" s="3" t="n">
        <v>7</v>
      </c>
      <c r="D579" s="3" t="n">
        <v>31</v>
      </c>
      <c r="E579" s="3" t="inlineStr">
        <is>
          <t>S24-31</t>
        </is>
      </c>
    </row>
    <row r="580">
      <c r="A580" s="2" t="n">
        <v>45505</v>
      </c>
      <c r="B580" s="3" t="n">
        <v>2024</v>
      </c>
      <c r="C580" s="3" t="n">
        <v>8</v>
      </c>
      <c r="D580" s="3" t="n">
        <v>31</v>
      </c>
      <c r="E580" s="3" t="inlineStr">
        <is>
          <t>S24-31</t>
        </is>
      </c>
    </row>
    <row r="581">
      <c r="A581" s="2" t="n">
        <v>45506</v>
      </c>
      <c r="B581" s="3" t="n">
        <v>2024</v>
      </c>
      <c r="C581" s="3" t="n">
        <v>8</v>
      </c>
      <c r="D581" s="3" t="n">
        <v>31</v>
      </c>
      <c r="E581" s="3" t="inlineStr">
        <is>
          <t>S24-31</t>
        </is>
      </c>
    </row>
    <row r="582">
      <c r="A582" s="2" t="n">
        <v>45507</v>
      </c>
      <c r="B582" s="3" t="n">
        <v>2024</v>
      </c>
      <c r="C582" s="3" t="n">
        <v>8</v>
      </c>
      <c r="D582" s="3" t="n">
        <v>31</v>
      </c>
      <c r="E582" s="3" t="inlineStr">
        <is>
          <t>S24-31</t>
        </is>
      </c>
    </row>
    <row r="583">
      <c r="A583" s="2" t="n">
        <v>45508</v>
      </c>
      <c r="B583" s="3" t="n">
        <v>2024</v>
      </c>
      <c r="C583" s="3" t="n">
        <v>8</v>
      </c>
      <c r="D583" s="3" t="n">
        <v>31</v>
      </c>
      <c r="E583" s="3" t="inlineStr">
        <is>
          <t>S24-31</t>
        </is>
      </c>
    </row>
    <row r="584">
      <c r="A584" s="2" t="n">
        <v>45509</v>
      </c>
      <c r="B584" s="3" t="n">
        <v>2024</v>
      </c>
      <c r="C584" s="3" t="n">
        <v>8</v>
      </c>
      <c r="D584" s="3" t="n">
        <v>32</v>
      </c>
      <c r="E584" s="3" t="inlineStr">
        <is>
          <t>S24-32</t>
        </is>
      </c>
    </row>
    <row r="585">
      <c r="A585" s="2" t="n">
        <v>45510</v>
      </c>
      <c r="B585" s="3" t="n">
        <v>2024</v>
      </c>
      <c r="C585" s="3" t="n">
        <v>8</v>
      </c>
      <c r="D585" s="3" t="n">
        <v>32</v>
      </c>
      <c r="E585" s="3" t="inlineStr">
        <is>
          <t>S24-32</t>
        </is>
      </c>
    </row>
    <row r="586">
      <c r="A586" s="2" t="n">
        <v>45511</v>
      </c>
      <c r="B586" s="3" t="n">
        <v>2024</v>
      </c>
      <c r="C586" s="3" t="n">
        <v>8</v>
      </c>
      <c r="D586" s="3" t="n">
        <v>32</v>
      </c>
      <c r="E586" s="3" t="inlineStr">
        <is>
          <t>S24-32</t>
        </is>
      </c>
    </row>
    <row r="587">
      <c r="A587" s="2" t="n">
        <v>45512</v>
      </c>
      <c r="B587" s="3" t="n">
        <v>2024</v>
      </c>
      <c r="C587" s="3" t="n">
        <v>8</v>
      </c>
      <c r="D587" s="3" t="n">
        <v>32</v>
      </c>
      <c r="E587" s="3" t="inlineStr">
        <is>
          <t>S24-32</t>
        </is>
      </c>
    </row>
    <row r="588">
      <c r="A588" s="2" t="n">
        <v>45513</v>
      </c>
      <c r="B588" s="3" t="n">
        <v>2024</v>
      </c>
      <c r="C588" s="3" t="n">
        <v>8</v>
      </c>
      <c r="D588" s="3" t="n">
        <v>32</v>
      </c>
      <c r="E588" s="3" t="inlineStr">
        <is>
          <t>S24-32</t>
        </is>
      </c>
    </row>
    <row r="589">
      <c r="A589" s="2" t="n">
        <v>45514</v>
      </c>
      <c r="B589" s="3" t="n">
        <v>2024</v>
      </c>
      <c r="C589" s="3" t="n">
        <v>8</v>
      </c>
      <c r="D589" s="3" t="n">
        <v>32</v>
      </c>
      <c r="E589" s="3" t="inlineStr">
        <is>
          <t>S24-32</t>
        </is>
      </c>
    </row>
    <row r="590">
      <c r="A590" s="2" t="n">
        <v>45515</v>
      </c>
      <c r="B590" s="3" t="n">
        <v>2024</v>
      </c>
      <c r="C590" s="3" t="n">
        <v>8</v>
      </c>
      <c r="D590" s="3" t="n">
        <v>32</v>
      </c>
      <c r="E590" s="3" t="inlineStr">
        <is>
          <t>S24-32</t>
        </is>
      </c>
    </row>
    <row r="591">
      <c r="A591" s="2" t="n">
        <v>45516</v>
      </c>
      <c r="B591" s="3" t="n">
        <v>2024</v>
      </c>
      <c r="C591" s="3" t="n">
        <v>8</v>
      </c>
      <c r="D591" s="3" t="n">
        <v>33</v>
      </c>
      <c r="E591" s="3" t="inlineStr">
        <is>
          <t>S24-33</t>
        </is>
      </c>
    </row>
    <row r="592">
      <c r="A592" s="2" t="n">
        <v>45517</v>
      </c>
      <c r="B592" s="3" t="n">
        <v>2024</v>
      </c>
      <c r="C592" s="3" t="n">
        <v>8</v>
      </c>
      <c r="D592" s="3" t="n">
        <v>33</v>
      </c>
      <c r="E592" s="3" t="inlineStr">
        <is>
          <t>S24-33</t>
        </is>
      </c>
    </row>
    <row r="593">
      <c r="A593" s="2" t="n">
        <v>45518</v>
      </c>
      <c r="B593" s="3" t="n">
        <v>2024</v>
      </c>
      <c r="C593" s="3" t="n">
        <v>8</v>
      </c>
      <c r="D593" s="3" t="n">
        <v>33</v>
      </c>
      <c r="E593" s="3" t="inlineStr">
        <is>
          <t>S24-33</t>
        </is>
      </c>
    </row>
    <row r="594">
      <c r="A594" s="2" t="n">
        <v>45519</v>
      </c>
      <c r="B594" s="3" t="n">
        <v>2024</v>
      </c>
      <c r="C594" s="3" t="n">
        <v>8</v>
      </c>
      <c r="D594" s="3" t="n">
        <v>33</v>
      </c>
      <c r="E594" s="3" t="inlineStr">
        <is>
          <t>S24-33</t>
        </is>
      </c>
    </row>
    <row r="595">
      <c r="A595" s="2" t="n">
        <v>45520</v>
      </c>
      <c r="B595" s="3" t="n">
        <v>2024</v>
      </c>
      <c r="C595" s="3" t="n">
        <v>8</v>
      </c>
      <c r="D595" s="3" t="n">
        <v>33</v>
      </c>
      <c r="E595" s="3" t="inlineStr">
        <is>
          <t>S24-33</t>
        </is>
      </c>
    </row>
    <row r="596">
      <c r="A596" s="2" t="n">
        <v>45521</v>
      </c>
      <c r="B596" s="3" t="n">
        <v>2024</v>
      </c>
      <c r="C596" s="3" t="n">
        <v>8</v>
      </c>
      <c r="D596" s="3" t="n">
        <v>33</v>
      </c>
      <c r="E596" s="3" t="inlineStr">
        <is>
          <t>S24-33</t>
        </is>
      </c>
    </row>
    <row r="597">
      <c r="A597" s="2" t="n">
        <v>45522</v>
      </c>
      <c r="B597" s="3" t="n">
        <v>2024</v>
      </c>
      <c r="C597" s="3" t="n">
        <v>8</v>
      </c>
      <c r="D597" s="3" t="n">
        <v>33</v>
      </c>
      <c r="E597" s="3" t="inlineStr">
        <is>
          <t>S24-33</t>
        </is>
      </c>
    </row>
    <row r="598">
      <c r="A598" s="2" t="n">
        <v>45523</v>
      </c>
      <c r="B598" s="3" t="n">
        <v>2024</v>
      </c>
      <c r="C598" s="3" t="n">
        <v>8</v>
      </c>
      <c r="D598" s="3" t="n">
        <v>34</v>
      </c>
      <c r="E598" s="3" t="inlineStr">
        <is>
          <t>S24-34</t>
        </is>
      </c>
    </row>
    <row r="599">
      <c r="A599" s="2" t="n">
        <v>45524</v>
      </c>
      <c r="B599" s="3" t="n">
        <v>2024</v>
      </c>
      <c r="C599" s="3" t="n">
        <v>8</v>
      </c>
      <c r="D599" s="3" t="n">
        <v>34</v>
      </c>
      <c r="E599" s="3" t="inlineStr">
        <is>
          <t>S24-34</t>
        </is>
      </c>
    </row>
    <row r="600">
      <c r="A600" s="2" t="n">
        <v>45525</v>
      </c>
      <c r="B600" s="3" t="n">
        <v>2024</v>
      </c>
      <c r="C600" s="3" t="n">
        <v>8</v>
      </c>
      <c r="D600" s="3" t="n">
        <v>34</v>
      </c>
      <c r="E600" s="3" t="inlineStr">
        <is>
          <t>S24-34</t>
        </is>
      </c>
    </row>
    <row r="601">
      <c r="A601" s="2" t="n">
        <v>45526</v>
      </c>
      <c r="B601" s="3" t="n">
        <v>2024</v>
      </c>
      <c r="C601" s="3" t="n">
        <v>8</v>
      </c>
      <c r="D601" s="3" t="n">
        <v>34</v>
      </c>
      <c r="E601" s="3" t="inlineStr">
        <is>
          <t>S24-34</t>
        </is>
      </c>
    </row>
    <row r="602">
      <c r="A602" s="2" t="n">
        <v>45527</v>
      </c>
      <c r="B602" s="3" t="n">
        <v>2024</v>
      </c>
      <c r="C602" s="3" t="n">
        <v>8</v>
      </c>
      <c r="D602" s="3" t="n">
        <v>34</v>
      </c>
      <c r="E602" s="3" t="inlineStr">
        <is>
          <t>S24-34</t>
        </is>
      </c>
    </row>
    <row r="603">
      <c r="A603" s="2" t="n">
        <v>45528</v>
      </c>
      <c r="B603" s="3" t="n">
        <v>2024</v>
      </c>
      <c r="C603" s="3" t="n">
        <v>8</v>
      </c>
      <c r="D603" s="3" t="n">
        <v>34</v>
      </c>
      <c r="E603" s="3" t="inlineStr">
        <is>
          <t>S24-34</t>
        </is>
      </c>
    </row>
    <row r="604">
      <c r="A604" s="2" t="n">
        <v>45529</v>
      </c>
      <c r="B604" s="3" t="n">
        <v>2024</v>
      </c>
      <c r="C604" s="3" t="n">
        <v>8</v>
      </c>
      <c r="D604" s="3" t="n">
        <v>34</v>
      </c>
      <c r="E604" s="3" t="inlineStr">
        <is>
          <t>S24-34</t>
        </is>
      </c>
    </row>
    <row r="605">
      <c r="A605" s="2" t="n">
        <v>45530</v>
      </c>
      <c r="B605" s="3" t="n">
        <v>2024</v>
      </c>
      <c r="C605" s="3" t="n">
        <v>8</v>
      </c>
      <c r="D605" s="3" t="n">
        <v>35</v>
      </c>
      <c r="E605" s="3" t="inlineStr">
        <is>
          <t>S24-35</t>
        </is>
      </c>
    </row>
    <row r="606">
      <c r="A606" s="2" t="n">
        <v>45531</v>
      </c>
      <c r="B606" s="3" t="n">
        <v>2024</v>
      </c>
      <c r="C606" s="3" t="n">
        <v>8</v>
      </c>
      <c r="D606" s="3" t="n">
        <v>35</v>
      </c>
      <c r="E606" s="3" t="inlineStr">
        <is>
          <t>S24-35</t>
        </is>
      </c>
    </row>
    <row r="607">
      <c r="A607" s="2" t="n">
        <v>45532</v>
      </c>
      <c r="B607" s="3" t="n">
        <v>2024</v>
      </c>
      <c r="C607" s="3" t="n">
        <v>8</v>
      </c>
      <c r="D607" s="3" t="n">
        <v>35</v>
      </c>
      <c r="E607" s="3" t="inlineStr">
        <is>
          <t>S24-35</t>
        </is>
      </c>
    </row>
    <row r="608">
      <c r="A608" s="2" t="n">
        <v>45533</v>
      </c>
      <c r="B608" s="3" t="n">
        <v>2024</v>
      </c>
      <c r="C608" s="3" t="n">
        <v>8</v>
      </c>
      <c r="D608" s="3" t="n">
        <v>35</v>
      </c>
      <c r="E608" s="3" t="inlineStr">
        <is>
          <t>S24-35</t>
        </is>
      </c>
    </row>
    <row r="609">
      <c r="A609" s="2" t="n">
        <v>45534</v>
      </c>
      <c r="B609" s="3" t="n">
        <v>2024</v>
      </c>
      <c r="C609" s="3" t="n">
        <v>8</v>
      </c>
      <c r="D609" s="3" t="n">
        <v>35</v>
      </c>
      <c r="E609" s="3" t="inlineStr">
        <is>
          <t>S24-35</t>
        </is>
      </c>
    </row>
    <row r="610">
      <c r="A610" s="2" t="n">
        <v>45535</v>
      </c>
      <c r="B610" s="3" t="n">
        <v>2024</v>
      </c>
      <c r="C610" s="3" t="n">
        <v>8</v>
      </c>
      <c r="D610" s="3" t="n">
        <v>35</v>
      </c>
      <c r="E610" s="3" t="inlineStr">
        <is>
          <t>S24-35</t>
        </is>
      </c>
    </row>
    <row r="611">
      <c r="A611" s="2" t="n">
        <v>45536</v>
      </c>
      <c r="B611" s="3" t="n">
        <v>2024</v>
      </c>
      <c r="C611" s="3" t="n">
        <v>9</v>
      </c>
      <c r="D611" s="3" t="n">
        <v>35</v>
      </c>
      <c r="E611" s="3" t="inlineStr">
        <is>
          <t>S24-35</t>
        </is>
      </c>
    </row>
    <row r="612">
      <c r="A612" s="2" t="n">
        <v>45537</v>
      </c>
      <c r="B612" s="3" t="n">
        <v>2024</v>
      </c>
      <c r="C612" s="3" t="n">
        <v>9</v>
      </c>
      <c r="D612" s="3" t="n">
        <v>36</v>
      </c>
      <c r="E612" s="3" t="inlineStr">
        <is>
          <t>S24-36</t>
        </is>
      </c>
    </row>
    <row r="613">
      <c r="A613" s="2" t="n">
        <v>45538</v>
      </c>
      <c r="B613" s="3" t="n">
        <v>2024</v>
      </c>
      <c r="C613" s="3" t="n">
        <v>9</v>
      </c>
      <c r="D613" s="3" t="n">
        <v>36</v>
      </c>
      <c r="E613" s="3" t="inlineStr">
        <is>
          <t>S24-36</t>
        </is>
      </c>
    </row>
    <row r="614">
      <c r="A614" s="2" t="n">
        <v>45539</v>
      </c>
      <c r="B614" s="3" t="n">
        <v>2024</v>
      </c>
      <c r="C614" s="3" t="n">
        <v>9</v>
      </c>
      <c r="D614" s="3" t="n">
        <v>36</v>
      </c>
      <c r="E614" s="3" t="inlineStr">
        <is>
          <t>S24-36</t>
        </is>
      </c>
    </row>
    <row r="615">
      <c r="A615" s="2" t="n">
        <v>45540</v>
      </c>
      <c r="B615" s="3" t="n">
        <v>2024</v>
      </c>
      <c r="C615" s="3" t="n">
        <v>9</v>
      </c>
      <c r="D615" s="3" t="n">
        <v>36</v>
      </c>
      <c r="E615" s="3" t="inlineStr">
        <is>
          <t>S24-36</t>
        </is>
      </c>
    </row>
    <row r="616">
      <c r="A616" s="2" t="n">
        <v>45541</v>
      </c>
      <c r="B616" s="3" t="n">
        <v>2024</v>
      </c>
      <c r="C616" s="3" t="n">
        <v>9</v>
      </c>
      <c r="D616" s="3" t="n">
        <v>36</v>
      </c>
      <c r="E616" s="3" t="inlineStr">
        <is>
          <t>S24-36</t>
        </is>
      </c>
    </row>
    <row r="617">
      <c r="A617" s="2" t="n">
        <v>45542</v>
      </c>
      <c r="B617" s="3" t="n">
        <v>2024</v>
      </c>
      <c r="C617" s="3" t="n">
        <v>9</v>
      </c>
      <c r="D617" s="3" t="n">
        <v>36</v>
      </c>
      <c r="E617" s="3" t="inlineStr">
        <is>
          <t>S24-36</t>
        </is>
      </c>
    </row>
    <row r="618">
      <c r="A618" s="2" t="n">
        <v>45543</v>
      </c>
      <c r="B618" s="3" t="n">
        <v>2024</v>
      </c>
      <c r="C618" s="3" t="n">
        <v>9</v>
      </c>
      <c r="D618" s="3" t="n">
        <v>36</v>
      </c>
      <c r="E618" s="3" t="inlineStr">
        <is>
          <t>S24-36</t>
        </is>
      </c>
    </row>
    <row r="619">
      <c r="A619" s="2" t="n">
        <v>45544</v>
      </c>
      <c r="B619" s="3" t="n">
        <v>2024</v>
      </c>
      <c r="C619" s="3" t="n">
        <v>9</v>
      </c>
      <c r="D619" s="3" t="n">
        <v>37</v>
      </c>
      <c r="E619" s="3" t="inlineStr">
        <is>
          <t>S24-37</t>
        </is>
      </c>
    </row>
    <row r="620">
      <c r="A620" s="2" t="n">
        <v>45545</v>
      </c>
      <c r="B620" s="3" t="n">
        <v>2024</v>
      </c>
      <c r="C620" s="3" t="n">
        <v>9</v>
      </c>
      <c r="D620" s="3" t="n">
        <v>37</v>
      </c>
      <c r="E620" s="3" t="inlineStr">
        <is>
          <t>S24-37</t>
        </is>
      </c>
    </row>
    <row r="621">
      <c r="A621" s="2" t="n">
        <v>45546</v>
      </c>
      <c r="B621" s="3" t="n">
        <v>2024</v>
      </c>
      <c r="C621" s="3" t="n">
        <v>9</v>
      </c>
      <c r="D621" s="3" t="n">
        <v>37</v>
      </c>
      <c r="E621" s="3" t="inlineStr">
        <is>
          <t>S24-37</t>
        </is>
      </c>
    </row>
    <row r="622">
      <c r="A622" s="2" t="n">
        <v>45547</v>
      </c>
      <c r="B622" s="3" t="n">
        <v>2024</v>
      </c>
      <c r="C622" s="3" t="n">
        <v>9</v>
      </c>
      <c r="D622" s="3" t="n">
        <v>37</v>
      </c>
      <c r="E622" s="3" t="inlineStr">
        <is>
          <t>S24-37</t>
        </is>
      </c>
    </row>
    <row r="623">
      <c r="A623" s="2" t="n">
        <v>45548</v>
      </c>
      <c r="B623" s="3" t="n">
        <v>2024</v>
      </c>
      <c r="C623" s="3" t="n">
        <v>9</v>
      </c>
      <c r="D623" s="3" t="n">
        <v>37</v>
      </c>
      <c r="E623" s="3" t="inlineStr">
        <is>
          <t>S24-37</t>
        </is>
      </c>
    </row>
    <row r="624">
      <c r="A624" s="2" t="n">
        <v>45549</v>
      </c>
      <c r="B624" s="3" t="n">
        <v>2024</v>
      </c>
      <c r="C624" s="3" t="n">
        <v>9</v>
      </c>
      <c r="D624" s="3" t="n">
        <v>37</v>
      </c>
      <c r="E624" s="3" t="inlineStr">
        <is>
          <t>S24-37</t>
        </is>
      </c>
    </row>
    <row r="625">
      <c r="A625" s="2" t="n">
        <v>45550</v>
      </c>
      <c r="B625" s="3" t="n">
        <v>2024</v>
      </c>
      <c r="C625" s="3" t="n">
        <v>9</v>
      </c>
      <c r="D625" s="3" t="n">
        <v>37</v>
      </c>
      <c r="E625" s="3" t="inlineStr">
        <is>
          <t>S24-37</t>
        </is>
      </c>
    </row>
    <row r="626">
      <c r="A626" s="2" t="n">
        <v>45551</v>
      </c>
      <c r="B626" s="3" t="n">
        <v>2024</v>
      </c>
      <c r="C626" s="3" t="n">
        <v>9</v>
      </c>
      <c r="D626" s="3" t="n">
        <v>38</v>
      </c>
      <c r="E626" s="3" t="inlineStr">
        <is>
          <t>S24-38</t>
        </is>
      </c>
    </row>
    <row r="627">
      <c r="A627" s="2" t="n">
        <v>45552</v>
      </c>
      <c r="B627" s="3" t="n">
        <v>2024</v>
      </c>
      <c r="C627" s="3" t="n">
        <v>9</v>
      </c>
      <c r="D627" s="3" t="n">
        <v>38</v>
      </c>
      <c r="E627" s="3" t="inlineStr">
        <is>
          <t>S24-38</t>
        </is>
      </c>
    </row>
    <row r="628">
      <c r="A628" s="2" t="n">
        <v>45553</v>
      </c>
      <c r="B628" s="3" t="n">
        <v>2024</v>
      </c>
      <c r="C628" s="3" t="n">
        <v>9</v>
      </c>
      <c r="D628" s="3" t="n">
        <v>38</v>
      </c>
      <c r="E628" s="3" t="inlineStr">
        <is>
          <t>S24-38</t>
        </is>
      </c>
    </row>
    <row r="629">
      <c r="A629" s="2" t="n">
        <v>45554</v>
      </c>
      <c r="B629" s="3" t="n">
        <v>2024</v>
      </c>
      <c r="C629" s="3" t="n">
        <v>9</v>
      </c>
      <c r="D629" s="3" t="n">
        <v>38</v>
      </c>
      <c r="E629" s="3" t="inlineStr">
        <is>
          <t>S24-38</t>
        </is>
      </c>
    </row>
    <row r="630">
      <c r="A630" s="2" t="n">
        <v>45555</v>
      </c>
      <c r="B630" s="3" t="n">
        <v>2024</v>
      </c>
      <c r="C630" s="3" t="n">
        <v>9</v>
      </c>
      <c r="D630" s="3" t="n">
        <v>38</v>
      </c>
      <c r="E630" s="3" t="inlineStr">
        <is>
          <t>S24-38</t>
        </is>
      </c>
    </row>
    <row r="631">
      <c r="A631" s="2" t="n">
        <v>45556</v>
      </c>
      <c r="B631" s="3" t="n">
        <v>2024</v>
      </c>
      <c r="C631" s="3" t="n">
        <v>9</v>
      </c>
      <c r="D631" s="3" t="n">
        <v>38</v>
      </c>
      <c r="E631" s="3" t="inlineStr">
        <is>
          <t>S24-38</t>
        </is>
      </c>
    </row>
    <row r="632">
      <c r="A632" s="2" t="n">
        <v>45557</v>
      </c>
      <c r="B632" s="3" t="n">
        <v>2024</v>
      </c>
      <c r="C632" s="3" t="n">
        <v>9</v>
      </c>
      <c r="D632" s="3" t="n">
        <v>38</v>
      </c>
      <c r="E632" s="3" t="inlineStr">
        <is>
          <t>S24-38</t>
        </is>
      </c>
    </row>
    <row r="633">
      <c r="A633" s="2" t="n">
        <v>45558</v>
      </c>
      <c r="B633" s="3" t="n">
        <v>2024</v>
      </c>
      <c r="C633" s="3" t="n">
        <v>9</v>
      </c>
      <c r="D633" s="3" t="n">
        <v>39</v>
      </c>
      <c r="E633" s="3" t="inlineStr">
        <is>
          <t>S24-39</t>
        </is>
      </c>
    </row>
    <row r="634">
      <c r="A634" s="2" t="n">
        <v>45559</v>
      </c>
      <c r="B634" s="3" t="n">
        <v>2024</v>
      </c>
      <c r="C634" s="3" t="n">
        <v>9</v>
      </c>
      <c r="D634" s="3" t="n">
        <v>39</v>
      </c>
      <c r="E634" s="3" t="inlineStr">
        <is>
          <t>S24-39</t>
        </is>
      </c>
    </row>
    <row r="635">
      <c r="A635" s="2" t="n">
        <v>45560</v>
      </c>
      <c r="B635" s="3" t="n">
        <v>2024</v>
      </c>
      <c r="C635" s="3" t="n">
        <v>9</v>
      </c>
      <c r="D635" s="3" t="n">
        <v>39</v>
      </c>
      <c r="E635" s="3" t="inlineStr">
        <is>
          <t>S24-39</t>
        </is>
      </c>
    </row>
    <row r="636">
      <c r="A636" s="2" t="n">
        <v>45561</v>
      </c>
      <c r="B636" s="3" t="n">
        <v>2024</v>
      </c>
      <c r="C636" s="3" t="n">
        <v>9</v>
      </c>
      <c r="D636" s="3" t="n">
        <v>39</v>
      </c>
      <c r="E636" s="3" t="inlineStr">
        <is>
          <t>S24-39</t>
        </is>
      </c>
    </row>
    <row r="637">
      <c r="A637" s="2" t="n">
        <v>45562</v>
      </c>
      <c r="B637" s="3" t="n">
        <v>2024</v>
      </c>
      <c r="C637" s="3" t="n">
        <v>9</v>
      </c>
      <c r="D637" s="3" t="n">
        <v>39</v>
      </c>
      <c r="E637" s="3" t="inlineStr">
        <is>
          <t>S24-39</t>
        </is>
      </c>
    </row>
    <row r="638">
      <c r="A638" s="2" t="n">
        <v>45563</v>
      </c>
      <c r="B638" s="3" t="n">
        <v>2024</v>
      </c>
      <c r="C638" s="3" t="n">
        <v>9</v>
      </c>
      <c r="D638" s="3" t="n">
        <v>39</v>
      </c>
      <c r="E638" s="3" t="inlineStr">
        <is>
          <t>S24-39</t>
        </is>
      </c>
    </row>
    <row r="639">
      <c r="A639" s="2" t="n">
        <v>45564</v>
      </c>
      <c r="B639" s="3" t="n">
        <v>2024</v>
      </c>
      <c r="C639" s="3" t="n">
        <v>9</v>
      </c>
      <c r="D639" s="3" t="n">
        <v>39</v>
      </c>
      <c r="E639" s="3" t="inlineStr">
        <is>
          <t>S24-39</t>
        </is>
      </c>
    </row>
    <row r="640">
      <c r="A640" s="2" t="n">
        <v>45565</v>
      </c>
      <c r="B640" s="3" t="n">
        <v>2024</v>
      </c>
      <c r="C640" s="3" t="n">
        <v>9</v>
      </c>
      <c r="D640" s="3" t="n">
        <v>40</v>
      </c>
      <c r="E640" s="3" t="inlineStr">
        <is>
          <t>S24-40</t>
        </is>
      </c>
    </row>
    <row r="641">
      <c r="A641" s="2" t="n">
        <v>45566</v>
      </c>
      <c r="B641" s="3" t="n">
        <v>2024</v>
      </c>
      <c r="C641" s="3" t="n">
        <v>10</v>
      </c>
      <c r="D641" s="3" t="n">
        <v>40</v>
      </c>
      <c r="E641" s="3" t="inlineStr">
        <is>
          <t>S24-40</t>
        </is>
      </c>
    </row>
    <row r="642">
      <c r="A642" s="2" t="n">
        <v>45567</v>
      </c>
      <c r="B642" s="3" t="n">
        <v>2024</v>
      </c>
      <c r="C642" s="3" t="n">
        <v>10</v>
      </c>
      <c r="D642" s="3" t="n">
        <v>40</v>
      </c>
      <c r="E642" s="3" t="inlineStr">
        <is>
          <t>S24-40</t>
        </is>
      </c>
    </row>
    <row r="643">
      <c r="A643" s="2" t="n">
        <v>45568</v>
      </c>
      <c r="B643" s="3" t="n">
        <v>2024</v>
      </c>
      <c r="C643" s="3" t="n">
        <v>10</v>
      </c>
      <c r="D643" s="3" t="n">
        <v>40</v>
      </c>
      <c r="E643" s="3" t="inlineStr">
        <is>
          <t>S24-40</t>
        </is>
      </c>
    </row>
    <row r="644">
      <c r="A644" s="2" t="n">
        <v>45569</v>
      </c>
      <c r="B644" s="3" t="n">
        <v>2024</v>
      </c>
      <c r="C644" s="3" t="n">
        <v>10</v>
      </c>
      <c r="D644" s="3" t="n">
        <v>40</v>
      </c>
      <c r="E644" s="3" t="inlineStr">
        <is>
          <t>S24-40</t>
        </is>
      </c>
    </row>
    <row r="645">
      <c r="A645" s="2" t="n">
        <v>45570</v>
      </c>
      <c r="B645" s="3" t="n">
        <v>2024</v>
      </c>
      <c r="C645" s="3" t="n">
        <v>10</v>
      </c>
      <c r="D645" s="3" t="n">
        <v>40</v>
      </c>
      <c r="E645" s="3" t="inlineStr">
        <is>
          <t>S24-40</t>
        </is>
      </c>
    </row>
    <row r="646">
      <c r="A646" s="2" t="n">
        <v>45571</v>
      </c>
      <c r="B646" s="3" t="n">
        <v>2024</v>
      </c>
      <c r="C646" s="3" t="n">
        <v>10</v>
      </c>
      <c r="D646" s="3" t="n">
        <v>40</v>
      </c>
      <c r="E646" s="3" t="inlineStr">
        <is>
          <t>S24-40</t>
        </is>
      </c>
    </row>
    <row r="647">
      <c r="A647" s="2" t="n">
        <v>45572</v>
      </c>
      <c r="B647" s="3" t="n">
        <v>2024</v>
      </c>
      <c r="C647" s="3" t="n">
        <v>10</v>
      </c>
      <c r="D647" s="3" t="n">
        <v>41</v>
      </c>
      <c r="E647" s="3" t="inlineStr">
        <is>
          <t>S24-41</t>
        </is>
      </c>
    </row>
    <row r="648">
      <c r="A648" s="2" t="n">
        <v>45573</v>
      </c>
      <c r="B648" s="3" t="n">
        <v>2024</v>
      </c>
      <c r="C648" s="3" t="n">
        <v>10</v>
      </c>
      <c r="D648" s="3" t="n">
        <v>41</v>
      </c>
      <c r="E648" s="3" t="inlineStr">
        <is>
          <t>S24-41</t>
        </is>
      </c>
    </row>
    <row r="649">
      <c r="A649" s="2" t="n">
        <v>45574</v>
      </c>
      <c r="B649" s="3" t="n">
        <v>2024</v>
      </c>
      <c r="C649" s="3" t="n">
        <v>10</v>
      </c>
      <c r="D649" s="3" t="n">
        <v>41</v>
      </c>
      <c r="E649" s="3" t="inlineStr">
        <is>
          <t>S24-41</t>
        </is>
      </c>
    </row>
    <row r="650">
      <c r="A650" s="2" t="n">
        <v>45575</v>
      </c>
      <c r="B650" s="3" t="n">
        <v>2024</v>
      </c>
      <c r="C650" s="3" t="n">
        <v>10</v>
      </c>
      <c r="D650" s="3" t="n">
        <v>41</v>
      </c>
      <c r="E650" s="3" t="inlineStr">
        <is>
          <t>S24-41</t>
        </is>
      </c>
    </row>
    <row r="651">
      <c r="A651" s="2" t="n">
        <v>45576</v>
      </c>
      <c r="B651" s="3" t="n">
        <v>2024</v>
      </c>
      <c r="C651" s="3" t="n">
        <v>10</v>
      </c>
      <c r="D651" s="3" t="n">
        <v>41</v>
      </c>
      <c r="E651" s="3" t="inlineStr">
        <is>
          <t>S24-41</t>
        </is>
      </c>
    </row>
    <row r="652">
      <c r="A652" s="2" t="n">
        <v>45577</v>
      </c>
      <c r="B652" s="3" t="n">
        <v>2024</v>
      </c>
      <c r="C652" s="3" t="n">
        <v>10</v>
      </c>
      <c r="D652" s="3" t="n">
        <v>41</v>
      </c>
      <c r="E652" s="3" t="inlineStr">
        <is>
          <t>S24-41</t>
        </is>
      </c>
    </row>
    <row r="653">
      <c r="A653" s="2" t="n">
        <v>45578</v>
      </c>
      <c r="B653" s="3" t="n">
        <v>2024</v>
      </c>
      <c r="C653" s="3" t="n">
        <v>10</v>
      </c>
      <c r="D653" s="3" t="n">
        <v>41</v>
      </c>
      <c r="E653" s="3" t="inlineStr">
        <is>
          <t>S24-41</t>
        </is>
      </c>
    </row>
    <row r="654">
      <c r="A654" s="2" t="n">
        <v>45579</v>
      </c>
      <c r="B654" s="3" t="n">
        <v>2024</v>
      </c>
      <c r="C654" s="3" t="n">
        <v>10</v>
      </c>
      <c r="D654" s="3" t="n">
        <v>42</v>
      </c>
      <c r="E654" s="3" t="inlineStr">
        <is>
          <t>S24-42</t>
        </is>
      </c>
    </row>
    <row r="655">
      <c r="A655" s="2" t="n">
        <v>45580</v>
      </c>
      <c r="B655" s="3" t="n">
        <v>2024</v>
      </c>
      <c r="C655" s="3" t="n">
        <v>10</v>
      </c>
      <c r="D655" s="3" t="n">
        <v>42</v>
      </c>
      <c r="E655" s="3" t="inlineStr">
        <is>
          <t>S24-42</t>
        </is>
      </c>
    </row>
    <row r="656">
      <c r="A656" s="2" t="n">
        <v>45581</v>
      </c>
      <c r="B656" s="3" t="n">
        <v>2024</v>
      </c>
      <c r="C656" s="3" t="n">
        <v>10</v>
      </c>
      <c r="D656" s="3" t="n">
        <v>42</v>
      </c>
      <c r="E656" s="3" t="inlineStr">
        <is>
          <t>S24-42</t>
        </is>
      </c>
    </row>
    <row r="657">
      <c r="A657" s="2" t="n">
        <v>45582</v>
      </c>
      <c r="B657" s="3" t="n">
        <v>2024</v>
      </c>
      <c r="C657" s="3" t="n">
        <v>10</v>
      </c>
      <c r="D657" s="3" t="n">
        <v>42</v>
      </c>
      <c r="E657" s="3" t="inlineStr">
        <is>
          <t>S24-42</t>
        </is>
      </c>
    </row>
    <row r="658">
      <c r="A658" s="2" t="n">
        <v>45583</v>
      </c>
      <c r="B658" s="3" t="n">
        <v>2024</v>
      </c>
      <c r="C658" s="3" t="n">
        <v>10</v>
      </c>
      <c r="D658" s="3" t="n">
        <v>42</v>
      </c>
      <c r="E658" s="3" t="inlineStr">
        <is>
          <t>S24-42</t>
        </is>
      </c>
    </row>
    <row r="659">
      <c r="A659" s="2" t="n">
        <v>45584</v>
      </c>
      <c r="B659" s="3" t="n">
        <v>2024</v>
      </c>
      <c r="C659" s="3" t="n">
        <v>10</v>
      </c>
      <c r="D659" s="3" t="n">
        <v>42</v>
      </c>
      <c r="E659" s="3" t="inlineStr">
        <is>
          <t>S24-42</t>
        </is>
      </c>
    </row>
    <row r="660">
      <c r="A660" s="2" t="n">
        <v>45585</v>
      </c>
      <c r="B660" s="3" t="n">
        <v>2024</v>
      </c>
      <c r="C660" s="3" t="n">
        <v>10</v>
      </c>
      <c r="D660" s="3" t="n">
        <v>42</v>
      </c>
      <c r="E660" s="3" t="inlineStr">
        <is>
          <t>S24-42</t>
        </is>
      </c>
    </row>
    <row r="661">
      <c r="A661" s="2" t="n">
        <v>45586</v>
      </c>
      <c r="B661" s="3" t="n">
        <v>2024</v>
      </c>
      <c r="C661" s="3" t="n">
        <v>10</v>
      </c>
      <c r="D661" s="3" t="n">
        <v>43</v>
      </c>
      <c r="E661" s="3" t="inlineStr">
        <is>
          <t>S24-43</t>
        </is>
      </c>
    </row>
    <row r="662">
      <c r="A662" s="2" t="n">
        <v>45587</v>
      </c>
      <c r="B662" s="3" t="n">
        <v>2024</v>
      </c>
      <c r="C662" s="3" t="n">
        <v>10</v>
      </c>
      <c r="D662" s="3" t="n">
        <v>43</v>
      </c>
      <c r="E662" s="3" t="inlineStr">
        <is>
          <t>S24-43</t>
        </is>
      </c>
    </row>
    <row r="663">
      <c r="A663" s="2" t="n">
        <v>45588</v>
      </c>
      <c r="B663" s="3" t="n">
        <v>2024</v>
      </c>
      <c r="C663" s="3" t="n">
        <v>10</v>
      </c>
      <c r="D663" s="3" t="n">
        <v>43</v>
      </c>
      <c r="E663" s="3" t="inlineStr">
        <is>
          <t>S24-43</t>
        </is>
      </c>
    </row>
    <row r="664">
      <c r="A664" s="2" t="n">
        <v>45589</v>
      </c>
      <c r="B664" s="3" t="n">
        <v>2024</v>
      </c>
      <c r="C664" s="3" t="n">
        <v>10</v>
      </c>
      <c r="D664" s="3" t="n">
        <v>43</v>
      </c>
      <c r="E664" s="3" t="inlineStr">
        <is>
          <t>S24-43</t>
        </is>
      </c>
    </row>
    <row r="665">
      <c r="A665" s="2" t="n">
        <v>45590</v>
      </c>
      <c r="B665" s="3" t="n">
        <v>2024</v>
      </c>
      <c r="C665" s="3" t="n">
        <v>10</v>
      </c>
      <c r="D665" s="3" t="n">
        <v>43</v>
      </c>
      <c r="E665" s="3" t="inlineStr">
        <is>
          <t>S24-43</t>
        </is>
      </c>
    </row>
    <row r="666">
      <c r="A666" s="2" t="n">
        <v>45591</v>
      </c>
      <c r="B666" s="3" t="n">
        <v>2024</v>
      </c>
      <c r="C666" s="3" t="n">
        <v>10</v>
      </c>
      <c r="D666" s="3" t="n">
        <v>43</v>
      </c>
      <c r="E666" s="3" t="inlineStr">
        <is>
          <t>S24-43</t>
        </is>
      </c>
    </row>
    <row r="667">
      <c r="A667" s="2" t="n">
        <v>45592</v>
      </c>
      <c r="B667" s="3" t="n">
        <v>2024</v>
      </c>
      <c r="C667" s="3" t="n">
        <v>10</v>
      </c>
      <c r="D667" s="3" t="n">
        <v>43</v>
      </c>
      <c r="E667" s="3" t="inlineStr">
        <is>
          <t>S24-43</t>
        </is>
      </c>
    </row>
    <row r="668">
      <c r="A668" s="2" t="n">
        <v>45593</v>
      </c>
      <c r="B668" s="3" t="n">
        <v>2024</v>
      </c>
      <c r="C668" s="3" t="n">
        <v>10</v>
      </c>
      <c r="D668" s="3" t="n">
        <v>44</v>
      </c>
      <c r="E668" s="3" t="inlineStr">
        <is>
          <t>S24-44</t>
        </is>
      </c>
    </row>
    <row r="669">
      <c r="A669" s="2" t="n">
        <v>45594</v>
      </c>
      <c r="B669" s="3" t="n">
        <v>2024</v>
      </c>
      <c r="C669" s="3" t="n">
        <v>10</v>
      </c>
      <c r="D669" s="3" t="n">
        <v>44</v>
      </c>
      <c r="E669" s="3" t="inlineStr">
        <is>
          <t>S24-44</t>
        </is>
      </c>
    </row>
    <row r="670">
      <c r="A670" s="2" t="n">
        <v>45595</v>
      </c>
      <c r="B670" s="3" t="n">
        <v>2024</v>
      </c>
      <c r="C670" s="3" t="n">
        <v>10</v>
      </c>
      <c r="D670" s="3" t="n">
        <v>44</v>
      </c>
      <c r="E670" s="3" t="inlineStr">
        <is>
          <t>S24-44</t>
        </is>
      </c>
    </row>
    <row r="671">
      <c r="A671" s="2" t="n">
        <v>45596</v>
      </c>
      <c r="B671" s="3" t="n">
        <v>2024</v>
      </c>
      <c r="C671" s="3" t="n">
        <v>10</v>
      </c>
      <c r="D671" s="3" t="n">
        <v>44</v>
      </c>
      <c r="E671" s="3" t="inlineStr">
        <is>
          <t>S24-44</t>
        </is>
      </c>
    </row>
    <row r="672">
      <c r="A672" s="2" t="n">
        <v>45597</v>
      </c>
      <c r="B672" s="3" t="n">
        <v>2024</v>
      </c>
      <c r="C672" s="3" t="n">
        <v>11</v>
      </c>
      <c r="D672" s="3" t="n">
        <v>44</v>
      </c>
      <c r="E672" s="3" t="inlineStr">
        <is>
          <t>S24-44</t>
        </is>
      </c>
    </row>
    <row r="673">
      <c r="A673" s="2" t="n">
        <v>45598</v>
      </c>
      <c r="B673" s="3" t="n">
        <v>2024</v>
      </c>
      <c r="C673" s="3" t="n">
        <v>11</v>
      </c>
      <c r="D673" s="3" t="n">
        <v>44</v>
      </c>
      <c r="E673" s="3" t="inlineStr">
        <is>
          <t>S24-44</t>
        </is>
      </c>
    </row>
    <row r="674">
      <c r="A674" s="2" t="n">
        <v>45599</v>
      </c>
      <c r="B674" s="3" t="n">
        <v>2024</v>
      </c>
      <c r="C674" s="3" t="n">
        <v>11</v>
      </c>
      <c r="D674" s="3" t="n">
        <v>44</v>
      </c>
      <c r="E674" s="3" t="inlineStr">
        <is>
          <t>S24-44</t>
        </is>
      </c>
    </row>
    <row r="675">
      <c r="A675" s="2" t="n">
        <v>45600</v>
      </c>
      <c r="B675" s="3" t="n">
        <v>2024</v>
      </c>
      <c r="C675" s="3" t="n">
        <v>11</v>
      </c>
      <c r="D675" s="3" t="n">
        <v>45</v>
      </c>
      <c r="E675" s="3" t="inlineStr">
        <is>
          <t>S24-45</t>
        </is>
      </c>
    </row>
    <row r="676">
      <c r="A676" s="2" t="n">
        <v>45601</v>
      </c>
      <c r="B676" s="3" t="n">
        <v>2024</v>
      </c>
      <c r="C676" s="3" t="n">
        <v>11</v>
      </c>
      <c r="D676" s="3" t="n">
        <v>45</v>
      </c>
      <c r="E676" s="3" t="inlineStr">
        <is>
          <t>S24-45</t>
        </is>
      </c>
    </row>
    <row r="677">
      <c r="A677" s="2" t="n">
        <v>45602</v>
      </c>
      <c r="B677" s="3" t="n">
        <v>2024</v>
      </c>
      <c r="C677" s="3" t="n">
        <v>11</v>
      </c>
      <c r="D677" s="3" t="n">
        <v>45</v>
      </c>
      <c r="E677" s="3" t="inlineStr">
        <is>
          <t>S24-45</t>
        </is>
      </c>
    </row>
    <row r="678">
      <c r="A678" s="2" t="n">
        <v>45603</v>
      </c>
      <c r="B678" s="3" t="n">
        <v>2024</v>
      </c>
      <c r="C678" s="3" t="n">
        <v>11</v>
      </c>
      <c r="D678" s="3" t="n">
        <v>45</v>
      </c>
      <c r="E678" s="3" t="inlineStr">
        <is>
          <t>S24-45</t>
        </is>
      </c>
    </row>
    <row r="679">
      <c r="A679" s="2" t="n">
        <v>45604</v>
      </c>
      <c r="B679" s="3" t="n">
        <v>2024</v>
      </c>
      <c r="C679" s="3" t="n">
        <v>11</v>
      </c>
      <c r="D679" s="3" t="n">
        <v>45</v>
      </c>
      <c r="E679" s="3" t="inlineStr">
        <is>
          <t>S24-45</t>
        </is>
      </c>
    </row>
    <row r="680">
      <c r="A680" s="2" t="n">
        <v>45605</v>
      </c>
      <c r="B680" s="3" t="n">
        <v>2024</v>
      </c>
      <c r="C680" s="3" t="n">
        <v>11</v>
      </c>
      <c r="D680" s="3" t="n">
        <v>45</v>
      </c>
      <c r="E680" s="3" t="inlineStr">
        <is>
          <t>S24-45</t>
        </is>
      </c>
    </row>
    <row r="681">
      <c r="A681" s="2" t="n">
        <v>45606</v>
      </c>
      <c r="B681" s="3" t="n">
        <v>2024</v>
      </c>
      <c r="C681" s="3" t="n">
        <v>11</v>
      </c>
      <c r="D681" s="3" t="n">
        <v>45</v>
      </c>
      <c r="E681" s="3" t="inlineStr">
        <is>
          <t>S24-45</t>
        </is>
      </c>
    </row>
    <row r="682">
      <c r="A682" s="2" t="n">
        <v>45607</v>
      </c>
      <c r="B682" s="3" t="n">
        <v>2024</v>
      </c>
      <c r="C682" s="3" t="n">
        <v>11</v>
      </c>
      <c r="D682" s="3" t="n">
        <v>46</v>
      </c>
      <c r="E682" s="3" t="inlineStr">
        <is>
          <t>S24-46</t>
        </is>
      </c>
    </row>
    <row r="683">
      <c r="A683" s="2" t="n">
        <v>45608</v>
      </c>
      <c r="B683" s="3" t="n">
        <v>2024</v>
      </c>
      <c r="C683" s="3" t="n">
        <v>11</v>
      </c>
      <c r="D683" s="3" t="n">
        <v>46</v>
      </c>
      <c r="E683" s="3" t="inlineStr">
        <is>
          <t>S24-46</t>
        </is>
      </c>
    </row>
    <row r="684">
      <c r="A684" s="2" t="n">
        <v>45609</v>
      </c>
      <c r="B684" s="3" t="n">
        <v>2024</v>
      </c>
      <c r="C684" s="3" t="n">
        <v>11</v>
      </c>
      <c r="D684" s="3" t="n">
        <v>46</v>
      </c>
      <c r="E684" s="3" t="inlineStr">
        <is>
          <t>S24-46</t>
        </is>
      </c>
    </row>
    <row r="685">
      <c r="A685" s="2" t="n">
        <v>45610</v>
      </c>
      <c r="B685" s="3" t="n">
        <v>2024</v>
      </c>
      <c r="C685" s="3" t="n">
        <v>11</v>
      </c>
      <c r="D685" s="3" t="n">
        <v>46</v>
      </c>
      <c r="E685" s="3" t="inlineStr">
        <is>
          <t>S24-46</t>
        </is>
      </c>
    </row>
    <row r="686">
      <c r="A686" s="2" t="n">
        <v>45611</v>
      </c>
      <c r="B686" s="3" t="n">
        <v>2024</v>
      </c>
      <c r="C686" s="3" t="n">
        <v>11</v>
      </c>
      <c r="D686" s="3" t="n">
        <v>46</v>
      </c>
      <c r="E686" s="3" t="inlineStr">
        <is>
          <t>S24-46</t>
        </is>
      </c>
    </row>
    <row r="687">
      <c r="A687" s="2" t="n">
        <v>45612</v>
      </c>
      <c r="B687" s="3" t="n">
        <v>2024</v>
      </c>
      <c r="C687" s="3" t="n">
        <v>11</v>
      </c>
      <c r="D687" s="3" t="n">
        <v>46</v>
      </c>
      <c r="E687" s="3" t="inlineStr">
        <is>
          <t>S24-46</t>
        </is>
      </c>
    </row>
    <row r="688">
      <c r="A688" s="2" t="n">
        <v>45613</v>
      </c>
      <c r="B688" s="3" t="n">
        <v>2024</v>
      </c>
      <c r="C688" s="3" t="n">
        <v>11</v>
      </c>
      <c r="D688" s="3" t="n">
        <v>46</v>
      </c>
      <c r="E688" s="3" t="inlineStr">
        <is>
          <t>S24-46</t>
        </is>
      </c>
    </row>
    <row r="689">
      <c r="A689" s="2" t="n">
        <v>45614</v>
      </c>
      <c r="B689" s="3" t="n">
        <v>2024</v>
      </c>
      <c r="C689" s="3" t="n">
        <v>11</v>
      </c>
      <c r="D689" s="3" t="n">
        <v>47</v>
      </c>
      <c r="E689" s="3" t="inlineStr">
        <is>
          <t>S24-47</t>
        </is>
      </c>
    </row>
    <row r="690">
      <c r="A690" s="2" t="n">
        <v>45615</v>
      </c>
      <c r="B690" s="3" t="n">
        <v>2024</v>
      </c>
      <c r="C690" s="3" t="n">
        <v>11</v>
      </c>
      <c r="D690" s="3" t="n">
        <v>47</v>
      </c>
      <c r="E690" s="3" t="inlineStr">
        <is>
          <t>S24-47</t>
        </is>
      </c>
    </row>
    <row r="691">
      <c r="A691" s="2" t="n">
        <v>45616</v>
      </c>
      <c r="B691" s="3" t="n">
        <v>2024</v>
      </c>
      <c r="C691" s="3" t="n">
        <v>11</v>
      </c>
      <c r="D691" s="3" t="n">
        <v>47</v>
      </c>
      <c r="E691" s="3" t="inlineStr">
        <is>
          <t>S24-47</t>
        </is>
      </c>
    </row>
    <row r="692">
      <c r="A692" s="2" t="n">
        <v>45617</v>
      </c>
      <c r="B692" s="3" t="n">
        <v>2024</v>
      </c>
      <c r="C692" s="3" t="n">
        <v>11</v>
      </c>
      <c r="D692" s="3" t="n">
        <v>47</v>
      </c>
      <c r="E692" s="3" t="inlineStr">
        <is>
          <t>S24-47</t>
        </is>
      </c>
    </row>
    <row r="693">
      <c r="A693" s="2" t="n">
        <v>45618</v>
      </c>
      <c r="B693" s="3" t="n">
        <v>2024</v>
      </c>
      <c r="C693" s="3" t="n">
        <v>11</v>
      </c>
      <c r="D693" s="3" t="n">
        <v>47</v>
      </c>
      <c r="E693" s="3" t="inlineStr">
        <is>
          <t>S24-47</t>
        </is>
      </c>
    </row>
    <row r="694">
      <c r="A694" s="2" t="n">
        <v>45619</v>
      </c>
      <c r="B694" s="3" t="n">
        <v>2024</v>
      </c>
      <c r="C694" s="3" t="n">
        <v>11</v>
      </c>
      <c r="D694" s="3" t="n">
        <v>47</v>
      </c>
      <c r="E694" s="3" t="inlineStr">
        <is>
          <t>S24-47</t>
        </is>
      </c>
    </row>
    <row r="695">
      <c r="A695" s="2" t="n">
        <v>45620</v>
      </c>
      <c r="B695" s="3" t="n">
        <v>2024</v>
      </c>
      <c r="C695" s="3" t="n">
        <v>11</v>
      </c>
      <c r="D695" s="3" t="n">
        <v>47</v>
      </c>
      <c r="E695" s="3" t="inlineStr">
        <is>
          <t>S24-47</t>
        </is>
      </c>
    </row>
    <row r="696">
      <c r="A696" s="2" t="n">
        <v>45621</v>
      </c>
      <c r="B696" s="3" t="n">
        <v>2024</v>
      </c>
      <c r="C696" s="3" t="n">
        <v>11</v>
      </c>
      <c r="D696" s="3" t="n">
        <v>48</v>
      </c>
      <c r="E696" s="3" t="inlineStr">
        <is>
          <t>S24-48</t>
        </is>
      </c>
    </row>
    <row r="697">
      <c r="A697" s="2" t="n">
        <v>45622</v>
      </c>
      <c r="B697" s="3" t="n">
        <v>2024</v>
      </c>
      <c r="C697" s="3" t="n">
        <v>11</v>
      </c>
      <c r="D697" s="3" t="n">
        <v>48</v>
      </c>
      <c r="E697" s="3" t="inlineStr">
        <is>
          <t>S24-48</t>
        </is>
      </c>
    </row>
    <row r="698">
      <c r="A698" s="2" t="n">
        <v>45623</v>
      </c>
      <c r="B698" s="3" t="n">
        <v>2024</v>
      </c>
      <c r="C698" s="3" t="n">
        <v>11</v>
      </c>
      <c r="D698" s="3" t="n">
        <v>48</v>
      </c>
      <c r="E698" s="3" t="inlineStr">
        <is>
          <t>S24-48</t>
        </is>
      </c>
    </row>
    <row r="699">
      <c r="A699" s="2" t="n">
        <v>45624</v>
      </c>
      <c r="B699" s="3" t="n">
        <v>2024</v>
      </c>
      <c r="C699" s="3" t="n">
        <v>11</v>
      </c>
      <c r="D699" s="3" t="n">
        <v>48</v>
      </c>
      <c r="E699" s="3" t="inlineStr">
        <is>
          <t>S24-48</t>
        </is>
      </c>
    </row>
    <row r="700">
      <c r="A700" s="2" t="n">
        <v>45625</v>
      </c>
      <c r="B700" s="3" t="n">
        <v>2024</v>
      </c>
      <c r="C700" s="3" t="n">
        <v>11</v>
      </c>
      <c r="D700" s="3" t="n">
        <v>48</v>
      </c>
      <c r="E700" s="3" t="inlineStr">
        <is>
          <t>S24-48</t>
        </is>
      </c>
    </row>
    <row r="701">
      <c r="A701" s="2" t="n">
        <v>45626</v>
      </c>
      <c r="B701" s="3" t="n">
        <v>2024</v>
      </c>
      <c r="C701" s="3" t="n">
        <v>11</v>
      </c>
      <c r="D701" s="3" t="n">
        <v>48</v>
      </c>
      <c r="E701" s="3" t="inlineStr">
        <is>
          <t>S24-48</t>
        </is>
      </c>
    </row>
    <row r="702">
      <c r="A702" s="2" t="n">
        <v>45627</v>
      </c>
      <c r="B702" s="3" t="n">
        <v>2024</v>
      </c>
      <c r="C702" s="3" t="n">
        <v>12</v>
      </c>
      <c r="D702" s="3" t="n">
        <v>48</v>
      </c>
      <c r="E702" s="3" t="inlineStr">
        <is>
          <t>S24-48</t>
        </is>
      </c>
    </row>
    <row r="703">
      <c r="A703" s="2" t="n">
        <v>45628</v>
      </c>
      <c r="B703" s="3" t="n">
        <v>2024</v>
      </c>
      <c r="C703" s="3" t="n">
        <v>12</v>
      </c>
      <c r="D703" s="3" t="n">
        <v>49</v>
      </c>
      <c r="E703" s="3" t="inlineStr">
        <is>
          <t>S24-49</t>
        </is>
      </c>
    </row>
    <row r="704">
      <c r="A704" s="2" t="n">
        <v>45629</v>
      </c>
      <c r="B704" s="3" t="n">
        <v>2024</v>
      </c>
      <c r="C704" s="3" t="n">
        <v>12</v>
      </c>
      <c r="D704" s="3" t="n">
        <v>49</v>
      </c>
      <c r="E704" s="3" t="inlineStr">
        <is>
          <t>S24-49</t>
        </is>
      </c>
    </row>
    <row r="705">
      <c r="A705" s="2" t="n">
        <v>45630</v>
      </c>
      <c r="B705" s="3" t="n">
        <v>2024</v>
      </c>
      <c r="C705" s="3" t="n">
        <v>12</v>
      </c>
      <c r="D705" s="3" t="n">
        <v>49</v>
      </c>
      <c r="E705" s="3" t="inlineStr">
        <is>
          <t>S24-49</t>
        </is>
      </c>
    </row>
    <row r="706">
      <c r="A706" s="2" t="n">
        <v>45631</v>
      </c>
      <c r="B706" s="3" t="n">
        <v>2024</v>
      </c>
      <c r="C706" s="3" t="n">
        <v>12</v>
      </c>
      <c r="D706" s="3" t="n">
        <v>49</v>
      </c>
      <c r="E706" s="3" t="inlineStr">
        <is>
          <t>S24-49</t>
        </is>
      </c>
    </row>
    <row r="707">
      <c r="A707" s="2" t="n">
        <v>45632</v>
      </c>
      <c r="B707" s="3" t="n">
        <v>2024</v>
      </c>
      <c r="C707" s="3" t="n">
        <v>12</v>
      </c>
      <c r="D707" s="3" t="n">
        <v>49</v>
      </c>
      <c r="E707" s="3" t="inlineStr">
        <is>
          <t>S24-49</t>
        </is>
      </c>
    </row>
    <row r="708">
      <c r="A708" s="2" t="n">
        <v>45633</v>
      </c>
      <c r="B708" s="3" t="n">
        <v>2024</v>
      </c>
      <c r="C708" s="3" t="n">
        <v>12</v>
      </c>
      <c r="D708" s="3" t="n">
        <v>49</v>
      </c>
      <c r="E708" s="3" t="inlineStr">
        <is>
          <t>S24-49</t>
        </is>
      </c>
    </row>
    <row r="709">
      <c r="A709" s="2" t="n">
        <v>45634</v>
      </c>
      <c r="B709" s="3" t="n">
        <v>2024</v>
      </c>
      <c r="C709" s="3" t="n">
        <v>12</v>
      </c>
      <c r="D709" s="3" t="n">
        <v>49</v>
      </c>
      <c r="E709" s="3" t="inlineStr">
        <is>
          <t>S24-49</t>
        </is>
      </c>
    </row>
    <row r="710">
      <c r="A710" s="2" t="n">
        <v>45635</v>
      </c>
      <c r="B710" s="3" t="n">
        <v>2024</v>
      </c>
      <c r="C710" s="3" t="n">
        <v>12</v>
      </c>
      <c r="D710" s="3" t="n">
        <v>50</v>
      </c>
      <c r="E710" s="3" t="inlineStr">
        <is>
          <t>S24-50</t>
        </is>
      </c>
    </row>
    <row r="711">
      <c r="A711" s="2" t="n">
        <v>45636</v>
      </c>
      <c r="B711" s="3" t="n">
        <v>2024</v>
      </c>
      <c r="C711" s="3" t="n">
        <v>12</v>
      </c>
      <c r="D711" s="3" t="n">
        <v>50</v>
      </c>
      <c r="E711" s="3" t="inlineStr">
        <is>
          <t>S24-50</t>
        </is>
      </c>
    </row>
    <row r="712">
      <c r="A712" s="2" t="n">
        <v>45637</v>
      </c>
      <c r="B712" s="3" t="n">
        <v>2024</v>
      </c>
      <c r="C712" s="3" t="n">
        <v>12</v>
      </c>
      <c r="D712" s="3" t="n">
        <v>50</v>
      </c>
      <c r="E712" s="3" t="inlineStr">
        <is>
          <t>S24-50</t>
        </is>
      </c>
    </row>
    <row r="713">
      <c r="A713" s="2" t="n">
        <v>45638</v>
      </c>
      <c r="B713" s="3" t="n">
        <v>2024</v>
      </c>
      <c r="C713" s="3" t="n">
        <v>12</v>
      </c>
      <c r="D713" s="3" t="n">
        <v>50</v>
      </c>
      <c r="E713" s="3" t="inlineStr">
        <is>
          <t>S24-50</t>
        </is>
      </c>
    </row>
    <row r="714">
      <c r="A714" s="2" t="n">
        <v>45639</v>
      </c>
      <c r="B714" s="3" t="n">
        <v>2024</v>
      </c>
      <c r="C714" s="3" t="n">
        <v>12</v>
      </c>
      <c r="D714" s="3" t="n">
        <v>50</v>
      </c>
      <c r="E714" s="3" t="inlineStr">
        <is>
          <t>S24-50</t>
        </is>
      </c>
    </row>
    <row r="715">
      <c r="A715" s="2" t="n">
        <v>45640</v>
      </c>
      <c r="B715" s="3" t="n">
        <v>2024</v>
      </c>
      <c r="C715" s="3" t="n">
        <v>12</v>
      </c>
      <c r="D715" s="3" t="n">
        <v>50</v>
      </c>
      <c r="E715" s="3" t="inlineStr">
        <is>
          <t>S24-50</t>
        </is>
      </c>
    </row>
    <row r="716">
      <c r="A716" s="2" t="n">
        <v>45641</v>
      </c>
      <c r="B716" s="3" t="n">
        <v>2024</v>
      </c>
      <c r="C716" s="3" t="n">
        <v>12</v>
      </c>
      <c r="D716" s="3" t="n">
        <v>50</v>
      </c>
      <c r="E716" s="3" t="inlineStr">
        <is>
          <t>S24-50</t>
        </is>
      </c>
    </row>
    <row r="717">
      <c r="A717" s="2" t="n">
        <v>45642</v>
      </c>
      <c r="B717" s="3" t="n">
        <v>2024</v>
      </c>
      <c r="C717" s="3" t="n">
        <v>12</v>
      </c>
      <c r="D717" s="3" t="n">
        <v>51</v>
      </c>
      <c r="E717" s="3" t="inlineStr">
        <is>
          <t>S24-51</t>
        </is>
      </c>
    </row>
    <row r="718">
      <c r="A718" s="2" t="n">
        <v>45643</v>
      </c>
      <c r="B718" s="3" t="n">
        <v>2024</v>
      </c>
      <c r="C718" s="3" t="n">
        <v>12</v>
      </c>
      <c r="D718" s="3" t="n">
        <v>51</v>
      </c>
      <c r="E718" s="3" t="inlineStr">
        <is>
          <t>S24-51</t>
        </is>
      </c>
    </row>
    <row r="719">
      <c r="A719" s="2" t="n">
        <v>45644</v>
      </c>
      <c r="B719" s="3" t="n">
        <v>2024</v>
      </c>
      <c r="C719" s="3" t="n">
        <v>12</v>
      </c>
      <c r="D719" s="3" t="n">
        <v>51</v>
      </c>
      <c r="E719" s="3" t="inlineStr">
        <is>
          <t>S24-51</t>
        </is>
      </c>
    </row>
    <row r="720">
      <c r="A720" s="2" t="n">
        <v>45645</v>
      </c>
      <c r="B720" s="3" t="n">
        <v>2024</v>
      </c>
      <c r="C720" s="3" t="n">
        <v>12</v>
      </c>
      <c r="D720" s="3" t="n">
        <v>51</v>
      </c>
      <c r="E720" s="3" t="inlineStr">
        <is>
          <t>S24-51</t>
        </is>
      </c>
    </row>
    <row r="721">
      <c r="A721" s="2" t="n">
        <v>45646</v>
      </c>
      <c r="B721" s="3" t="n">
        <v>2024</v>
      </c>
      <c r="C721" s="3" t="n">
        <v>12</v>
      </c>
      <c r="D721" s="3" t="n">
        <v>51</v>
      </c>
      <c r="E721" s="3" t="inlineStr">
        <is>
          <t>S24-51</t>
        </is>
      </c>
    </row>
    <row r="722">
      <c r="A722" s="2" t="n">
        <v>45647</v>
      </c>
      <c r="B722" s="3" t="n">
        <v>2024</v>
      </c>
      <c r="C722" s="3" t="n">
        <v>12</v>
      </c>
      <c r="D722" s="3" t="n">
        <v>51</v>
      </c>
      <c r="E722" s="3" t="inlineStr">
        <is>
          <t>S24-51</t>
        </is>
      </c>
    </row>
    <row r="723">
      <c r="A723" s="2" t="n">
        <v>45648</v>
      </c>
      <c r="B723" s="3" t="n">
        <v>2024</v>
      </c>
      <c r="C723" s="3" t="n">
        <v>12</v>
      </c>
      <c r="D723" s="3" t="n">
        <v>51</v>
      </c>
      <c r="E723" s="3" t="inlineStr">
        <is>
          <t>S24-51</t>
        </is>
      </c>
    </row>
    <row r="724">
      <c r="A724" s="2" t="n">
        <v>45649</v>
      </c>
      <c r="B724" s="3" t="n">
        <v>2024</v>
      </c>
      <c r="C724" s="3" t="n">
        <v>12</v>
      </c>
      <c r="D724" s="3" t="n">
        <v>52</v>
      </c>
      <c r="E724" s="3" t="inlineStr">
        <is>
          <t>S24-52</t>
        </is>
      </c>
    </row>
    <row r="725">
      <c r="A725" s="2" t="n">
        <v>45650</v>
      </c>
      <c r="B725" s="3" t="n">
        <v>2024</v>
      </c>
      <c r="C725" s="3" t="n">
        <v>12</v>
      </c>
      <c r="D725" s="3" t="n">
        <v>52</v>
      </c>
      <c r="E725" s="3" t="inlineStr">
        <is>
          <t>S24-52</t>
        </is>
      </c>
    </row>
    <row r="726">
      <c r="A726" s="2" t="n">
        <v>45651</v>
      </c>
      <c r="B726" s="3" t="n">
        <v>2024</v>
      </c>
      <c r="C726" s="3" t="n">
        <v>12</v>
      </c>
      <c r="D726" s="3" t="n">
        <v>52</v>
      </c>
      <c r="E726" s="3" t="inlineStr">
        <is>
          <t>S24-52</t>
        </is>
      </c>
    </row>
    <row r="727">
      <c r="A727" s="2" t="n">
        <v>45652</v>
      </c>
      <c r="B727" s="3" t="n">
        <v>2024</v>
      </c>
      <c r="C727" s="3" t="n">
        <v>12</v>
      </c>
      <c r="D727" s="3" t="n">
        <v>52</v>
      </c>
      <c r="E727" s="3" t="inlineStr">
        <is>
          <t>S24-52</t>
        </is>
      </c>
    </row>
    <row r="728">
      <c r="A728" s="2" t="n">
        <v>45653</v>
      </c>
      <c r="B728" s="3" t="n">
        <v>2024</v>
      </c>
      <c r="C728" s="3" t="n">
        <v>12</v>
      </c>
      <c r="D728" s="3" t="n">
        <v>52</v>
      </c>
      <c r="E728" s="3" t="inlineStr">
        <is>
          <t>S24-52</t>
        </is>
      </c>
    </row>
    <row r="729">
      <c r="A729" s="2" t="n">
        <v>45654</v>
      </c>
      <c r="B729" s="3" t="n">
        <v>2024</v>
      </c>
      <c r="C729" s="3" t="n">
        <v>12</v>
      </c>
      <c r="D729" s="3" t="n">
        <v>52</v>
      </c>
      <c r="E729" s="3" t="inlineStr">
        <is>
          <t>S24-52</t>
        </is>
      </c>
    </row>
    <row r="730">
      <c r="A730" s="2" t="n">
        <v>45655</v>
      </c>
      <c r="B730" s="3" t="n">
        <v>2024</v>
      </c>
      <c r="C730" s="3" t="n">
        <v>12</v>
      </c>
      <c r="D730" s="3" t="n">
        <v>52</v>
      </c>
      <c r="E730" s="3" t="inlineStr">
        <is>
          <t>S24-52</t>
        </is>
      </c>
    </row>
    <row r="731">
      <c r="A731" s="2" t="n">
        <v>45656</v>
      </c>
      <c r="B731" s="3" t="n">
        <v>2024</v>
      </c>
      <c r="C731" s="3" t="n">
        <v>12</v>
      </c>
      <c r="D731" s="3" t="n">
        <v>1</v>
      </c>
      <c r="E731" s="3" t="inlineStr">
        <is>
          <t>S25-01</t>
        </is>
      </c>
    </row>
    <row r="732">
      <c r="A732" s="2" t="n">
        <v>45657</v>
      </c>
      <c r="B732" s="3" t="n">
        <v>2024</v>
      </c>
      <c r="C732" s="3" t="n">
        <v>12</v>
      </c>
      <c r="D732" s="3" t="n">
        <v>1</v>
      </c>
      <c r="E732" s="3" t="inlineStr">
        <is>
          <t>S25-01</t>
        </is>
      </c>
    </row>
    <row r="733">
      <c r="A733" s="2" t="n">
        <v>45658</v>
      </c>
      <c r="B733" s="3" t="n">
        <v>2025</v>
      </c>
      <c r="C733" s="3" t="n">
        <v>1</v>
      </c>
      <c r="D733" s="3" t="n">
        <v>1</v>
      </c>
      <c r="E733" s="3" t="inlineStr">
        <is>
          <t>S25-01</t>
        </is>
      </c>
    </row>
    <row r="734">
      <c r="A734" s="2" t="n">
        <v>45659</v>
      </c>
      <c r="B734" s="3" t="n">
        <v>2025</v>
      </c>
      <c r="C734" s="3" t="n">
        <v>1</v>
      </c>
      <c r="D734" s="3" t="n">
        <v>1</v>
      </c>
      <c r="E734" s="3" t="inlineStr">
        <is>
          <t>S25-01</t>
        </is>
      </c>
    </row>
    <row r="735">
      <c r="A735" s="2" t="n">
        <v>45660</v>
      </c>
      <c r="B735" s="3" t="n">
        <v>2025</v>
      </c>
      <c r="C735" s="3" t="n">
        <v>1</v>
      </c>
      <c r="D735" s="3" t="n">
        <v>1</v>
      </c>
      <c r="E735" s="3" t="inlineStr">
        <is>
          <t>S25-01</t>
        </is>
      </c>
    </row>
    <row r="736">
      <c r="A736" s="2" t="n">
        <v>45661</v>
      </c>
      <c r="B736" s="3" t="n">
        <v>2025</v>
      </c>
      <c r="C736" s="3" t="n">
        <v>1</v>
      </c>
      <c r="D736" s="3" t="n">
        <v>1</v>
      </c>
      <c r="E736" s="3" t="inlineStr">
        <is>
          <t>S25-01</t>
        </is>
      </c>
    </row>
    <row r="737">
      <c r="A737" s="2" t="n">
        <v>45662</v>
      </c>
      <c r="B737" s="3" t="n">
        <v>2025</v>
      </c>
      <c r="C737" s="3" t="n">
        <v>1</v>
      </c>
      <c r="D737" s="3" t="n">
        <v>1</v>
      </c>
      <c r="E737" s="3" t="inlineStr">
        <is>
          <t>S25-01</t>
        </is>
      </c>
    </row>
    <row r="738">
      <c r="A738" s="2" t="n">
        <v>45663</v>
      </c>
      <c r="B738" s="3" t="n">
        <v>2025</v>
      </c>
      <c r="C738" s="3" t="n">
        <v>1</v>
      </c>
      <c r="D738" s="3" t="n">
        <v>2</v>
      </c>
      <c r="E738" s="3" t="inlineStr">
        <is>
          <t>S25-02</t>
        </is>
      </c>
    </row>
    <row r="739">
      <c r="A739" s="2" t="n">
        <v>45664</v>
      </c>
      <c r="B739" s="3" t="n">
        <v>2025</v>
      </c>
      <c r="C739" s="3" t="n">
        <v>1</v>
      </c>
      <c r="D739" s="3" t="n">
        <v>2</v>
      </c>
      <c r="E739" s="3" t="inlineStr">
        <is>
          <t>S25-02</t>
        </is>
      </c>
    </row>
    <row r="740">
      <c r="A740" s="2" t="n">
        <v>45665</v>
      </c>
      <c r="B740" s="3" t="n">
        <v>2025</v>
      </c>
      <c r="C740" s="3" t="n">
        <v>1</v>
      </c>
      <c r="D740" s="3" t="n">
        <v>2</v>
      </c>
      <c r="E740" s="3" t="inlineStr">
        <is>
          <t>S25-02</t>
        </is>
      </c>
    </row>
    <row r="741">
      <c r="A741" s="2" t="n">
        <v>45666</v>
      </c>
      <c r="B741" s="3" t="n">
        <v>2025</v>
      </c>
      <c r="C741" s="3" t="n">
        <v>1</v>
      </c>
      <c r="D741" s="3" t="n">
        <v>2</v>
      </c>
      <c r="E741" s="3" t="inlineStr">
        <is>
          <t>S25-02</t>
        </is>
      </c>
    </row>
    <row r="742">
      <c r="A742" s="2" t="n">
        <v>45667</v>
      </c>
      <c r="B742" s="3" t="n">
        <v>2025</v>
      </c>
      <c r="C742" s="3" t="n">
        <v>1</v>
      </c>
      <c r="D742" s="3" t="n">
        <v>2</v>
      </c>
      <c r="E742" s="3" t="inlineStr">
        <is>
          <t>S25-02</t>
        </is>
      </c>
    </row>
    <row r="743">
      <c r="A743" s="2" t="n">
        <v>45668</v>
      </c>
      <c r="B743" s="3" t="n">
        <v>2025</v>
      </c>
      <c r="C743" s="3" t="n">
        <v>1</v>
      </c>
      <c r="D743" s="3" t="n">
        <v>2</v>
      </c>
      <c r="E743" s="3" t="inlineStr">
        <is>
          <t>S25-02</t>
        </is>
      </c>
    </row>
    <row r="744">
      <c r="A744" s="2" t="n">
        <v>45669</v>
      </c>
      <c r="B744" s="3" t="n">
        <v>2025</v>
      </c>
      <c r="C744" s="3" t="n">
        <v>1</v>
      </c>
      <c r="D744" s="3" t="n">
        <v>2</v>
      </c>
      <c r="E744" s="3" t="inlineStr">
        <is>
          <t>S25-02</t>
        </is>
      </c>
    </row>
    <row r="745">
      <c r="A745" s="2" t="n">
        <v>45670</v>
      </c>
      <c r="B745" s="3" t="n">
        <v>2025</v>
      </c>
      <c r="C745" s="3" t="n">
        <v>1</v>
      </c>
      <c r="D745" s="3" t="n">
        <v>3</v>
      </c>
      <c r="E745" s="3" t="inlineStr">
        <is>
          <t>S25-03</t>
        </is>
      </c>
    </row>
    <row r="746">
      <c r="A746" s="2" t="n">
        <v>45671</v>
      </c>
      <c r="B746" s="3" t="n">
        <v>2025</v>
      </c>
      <c r="C746" s="3" t="n">
        <v>1</v>
      </c>
      <c r="D746" s="3" t="n">
        <v>3</v>
      </c>
      <c r="E746" s="3" t="inlineStr">
        <is>
          <t>S25-03</t>
        </is>
      </c>
    </row>
    <row r="747">
      <c r="A747" s="2" t="n">
        <v>45672</v>
      </c>
      <c r="B747" s="3" t="n">
        <v>2025</v>
      </c>
      <c r="C747" s="3" t="n">
        <v>1</v>
      </c>
      <c r="D747" s="3" t="n">
        <v>3</v>
      </c>
      <c r="E747" s="3" t="inlineStr">
        <is>
          <t>S25-03</t>
        </is>
      </c>
    </row>
    <row r="748">
      <c r="A748" s="2" t="n">
        <v>45673</v>
      </c>
      <c r="B748" s="3" t="n">
        <v>2025</v>
      </c>
      <c r="C748" s="3" t="n">
        <v>1</v>
      </c>
      <c r="D748" s="3" t="n">
        <v>3</v>
      </c>
      <c r="E748" s="3" t="inlineStr">
        <is>
          <t>S25-03</t>
        </is>
      </c>
    </row>
    <row r="749">
      <c r="A749" s="2" t="n">
        <v>45674</v>
      </c>
      <c r="B749" s="3" t="n">
        <v>2025</v>
      </c>
      <c r="C749" s="3" t="n">
        <v>1</v>
      </c>
      <c r="D749" s="3" t="n">
        <v>3</v>
      </c>
      <c r="E749" s="3" t="inlineStr">
        <is>
          <t>S25-03</t>
        </is>
      </c>
    </row>
    <row r="750">
      <c r="A750" s="2" t="n">
        <v>45675</v>
      </c>
      <c r="B750" s="3" t="n">
        <v>2025</v>
      </c>
      <c r="C750" s="3" t="n">
        <v>1</v>
      </c>
      <c r="D750" s="3" t="n">
        <v>3</v>
      </c>
      <c r="E750" s="3" t="inlineStr">
        <is>
          <t>S25-03</t>
        </is>
      </c>
    </row>
    <row r="751">
      <c r="A751" s="2" t="n">
        <v>45676</v>
      </c>
      <c r="B751" s="3" t="n">
        <v>2025</v>
      </c>
      <c r="C751" s="3" t="n">
        <v>1</v>
      </c>
      <c r="D751" s="3" t="n">
        <v>3</v>
      </c>
      <c r="E751" s="3" t="inlineStr">
        <is>
          <t>S25-03</t>
        </is>
      </c>
    </row>
    <row r="752">
      <c r="A752" s="2" t="n">
        <v>45677</v>
      </c>
      <c r="B752" s="3" t="n">
        <v>2025</v>
      </c>
      <c r="C752" s="3" t="n">
        <v>1</v>
      </c>
      <c r="D752" s="3" t="n">
        <v>4</v>
      </c>
      <c r="E752" s="3" t="inlineStr">
        <is>
          <t>S25-04</t>
        </is>
      </c>
    </row>
    <row r="753">
      <c r="A753" s="2" t="n">
        <v>45678</v>
      </c>
      <c r="B753" s="3" t="n">
        <v>2025</v>
      </c>
      <c r="C753" s="3" t="n">
        <v>1</v>
      </c>
      <c r="D753" s="3" t="n">
        <v>4</v>
      </c>
      <c r="E753" s="3" t="inlineStr">
        <is>
          <t>S25-04</t>
        </is>
      </c>
    </row>
    <row r="754">
      <c r="A754" s="2" t="n">
        <v>45679</v>
      </c>
      <c r="B754" s="3" t="n">
        <v>2025</v>
      </c>
      <c r="C754" s="3" t="n">
        <v>1</v>
      </c>
      <c r="D754" s="3" t="n">
        <v>4</v>
      </c>
      <c r="E754" s="3" t="inlineStr">
        <is>
          <t>S25-04</t>
        </is>
      </c>
    </row>
    <row r="755">
      <c r="A755" s="2" t="n">
        <v>45680</v>
      </c>
      <c r="B755" s="3" t="n">
        <v>2025</v>
      </c>
      <c r="C755" s="3" t="n">
        <v>1</v>
      </c>
      <c r="D755" s="3" t="n">
        <v>4</v>
      </c>
      <c r="E755" s="3" t="inlineStr">
        <is>
          <t>S25-04</t>
        </is>
      </c>
    </row>
    <row r="756">
      <c r="A756" s="2" t="n">
        <v>45681</v>
      </c>
      <c r="B756" s="3" t="n">
        <v>2025</v>
      </c>
      <c r="C756" s="3" t="n">
        <v>1</v>
      </c>
      <c r="D756" s="3" t="n">
        <v>4</v>
      </c>
      <c r="E756" s="3" t="inlineStr">
        <is>
          <t>S25-04</t>
        </is>
      </c>
    </row>
    <row r="757">
      <c r="A757" s="2" t="n">
        <v>45682</v>
      </c>
      <c r="B757" s="3" t="n">
        <v>2025</v>
      </c>
      <c r="C757" s="3" t="n">
        <v>1</v>
      </c>
      <c r="D757" s="3" t="n">
        <v>4</v>
      </c>
      <c r="E757" s="3" t="inlineStr">
        <is>
          <t>S25-04</t>
        </is>
      </c>
    </row>
    <row r="758">
      <c r="A758" s="2" t="n">
        <v>45683</v>
      </c>
      <c r="B758" s="3" t="n">
        <v>2025</v>
      </c>
      <c r="C758" s="3" t="n">
        <v>1</v>
      </c>
      <c r="D758" s="3" t="n">
        <v>4</v>
      </c>
      <c r="E758" s="3" t="inlineStr">
        <is>
          <t>S25-04</t>
        </is>
      </c>
    </row>
    <row r="759">
      <c r="A759" s="2" t="n">
        <v>45684</v>
      </c>
      <c r="B759" s="3" t="n">
        <v>2025</v>
      </c>
      <c r="C759" s="3" t="n">
        <v>1</v>
      </c>
      <c r="D759" s="3" t="n">
        <v>5</v>
      </c>
      <c r="E759" s="3" t="inlineStr">
        <is>
          <t>S25-05</t>
        </is>
      </c>
    </row>
    <row r="760">
      <c r="A760" s="2" t="n">
        <v>45685</v>
      </c>
      <c r="B760" s="3" t="n">
        <v>2025</v>
      </c>
      <c r="C760" s="3" t="n">
        <v>1</v>
      </c>
      <c r="D760" s="3" t="n">
        <v>5</v>
      </c>
      <c r="E760" s="3" t="inlineStr">
        <is>
          <t>S25-05</t>
        </is>
      </c>
    </row>
    <row r="761">
      <c r="A761" s="2" t="n">
        <v>45686</v>
      </c>
      <c r="B761" s="3" t="n">
        <v>2025</v>
      </c>
      <c r="C761" s="3" t="n">
        <v>1</v>
      </c>
      <c r="D761" s="3" t="n">
        <v>5</v>
      </c>
      <c r="E761" s="3" t="inlineStr">
        <is>
          <t>S25-05</t>
        </is>
      </c>
    </row>
    <row r="762">
      <c r="A762" s="2" t="n">
        <v>45687</v>
      </c>
      <c r="B762" s="3" t="n">
        <v>2025</v>
      </c>
      <c r="C762" s="3" t="n">
        <v>1</v>
      </c>
      <c r="D762" s="3" t="n">
        <v>5</v>
      </c>
      <c r="E762" s="3" t="inlineStr">
        <is>
          <t>S25-05</t>
        </is>
      </c>
    </row>
    <row r="763">
      <c r="A763" s="2" t="n">
        <v>45688</v>
      </c>
      <c r="B763" s="3" t="n">
        <v>2025</v>
      </c>
      <c r="C763" s="3" t="n">
        <v>1</v>
      </c>
      <c r="D763" s="3" t="n">
        <v>5</v>
      </c>
      <c r="E763" s="3" t="inlineStr">
        <is>
          <t>S25-05</t>
        </is>
      </c>
    </row>
    <row r="764">
      <c r="A764" s="2" t="n">
        <v>45689</v>
      </c>
      <c r="B764" s="3" t="n">
        <v>2025</v>
      </c>
      <c r="C764" s="3" t="n">
        <v>2</v>
      </c>
      <c r="D764" s="3" t="n">
        <v>5</v>
      </c>
      <c r="E764" s="3" t="inlineStr">
        <is>
          <t>S25-05</t>
        </is>
      </c>
    </row>
    <row r="765">
      <c r="A765" s="2" t="n">
        <v>45690</v>
      </c>
      <c r="B765" s="3" t="n">
        <v>2025</v>
      </c>
      <c r="C765" s="3" t="n">
        <v>2</v>
      </c>
      <c r="D765" s="3" t="n">
        <v>5</v>
      </c>
      <c r="E765" s="3" t="inlineStr">
        <is>
          <t>S25-05</t>
        </is>
      </c>
    </row>
    <row r="766">
      <c r="A766" s="2" t="n">
        <v>45691</v>
      </c>
      <c r="B766" s="3" t="n">
        <v>2025</v>
      </c>
      <c r="C766" s="3" t="n">
        <v>2</v>
      </c>
      <c r="D766" s="3" t="n">
        <v>6</v>
      </c>
      <c r="E766" s="3" t="inlineStr">
        <is>
          <t>S25-06</t>
        </is>
      </c>
    </row>
    <row r="767">
      <c r="A767" s="2" t="n">
        <v>45692</v>
      </c>
      <c r="B767" s="3" t="n">
        <v>2025</v>
      </c>
      <c r="C767" s="3" t="n">
        <v>2</v>
      </c>
      <c r="D767" s="3" t="n">
        <v>6</v>
      </c>
      <c r="E767" s="3" t="inlineStr">
        <is>
          <t>S25-06</t>
        </is>
      </c>
    </row>
    <row r="768">
      <c r="A768" s="2" t="n">
        <v>45693</v>
      </c>
      <c r="B768" s="3" t="n">
        <v>2025</v>
      </c>
      <c r="C768" s="3" t="n">
        <v>2</v>
      </c>
      <c r="D768" s="3" t="n">
        <v>6</v>
      </c>
      <c r="E768" s="3" t="inlineStr">
        <is>
          <t>S25-06</t>
        </is>
      </c>
    </row>
    <row r="769">
      <c r="A769" s="2" t="n">
        <v>45694</v>
      </c>
      <c r="B769" s="3" t="n">
        <v>2025</v>
      </c>
      <c r="C769" s="3" t="n">
        <v>2</v>
      </c>
      <c r="D769" s="3" t="n">
        <v>6</v>
      </c>
      <c r="E769" s="3" t="inlineStr">
        <is>
          <t>S25-06</t>
        </is>
      </c>
    </row>
    <row r="770">
      <c r="A770" s="2" t="n">
        <v>45695</v>
      </c>
      <c r="B770" s="3" t="n">
        <v>2025</v>
      </c>
      <c r="C770" s="3" t="n">
        <v>2</v>
      </c>
      <c r="D770" s="3" t="n">
        <v>6</v>
      </c>
      <c r="E770" s="3" t="inlineStr">
        <is>
          <t>S25-06</t>
        </is>
      </c>
    </row>
    <row r="771">
      <c r="A771" s="2" t="n">
        <v>45696</v>
      </c>
      <c r="B771" s="3" t="n">
        <v>2025</v>
      </c>
      <c r="C771" s="3" t="n">
        <v>2</v>
      </c>
      <c r="D771" s="3" t="n">
        <v>6</v>
      </c>
      <c r="E771" s="3" t="inlineStr">
        <is>
          <t>S25-06</t>
        </is>
      </c>
    </row>
    <row r="772">
      <c r="A772" s="2" t="n">
        <v>45697</v>
      </c>
      <c r="B772" s="3" t="n">
        <v>2025</v>
      </c>
      <c r="C772" s="3" t="n">
        <v>2</v>
      </c>
      <c r="D772" s="3" t="n">
        <v>6</v>
      </c>
      <c r="E772" s="3" t="inlineStr">
        <is>
          <t>S25-06</t>
        </is>
      </c>
    </row>
    <row r="773">
      <c r="A773" s="2" t="n">
        <v>45698</v>
      </c>
      <c r="B773" s="3" t="n">
        <v>2025</v>
      </c>
      <c r="C773" s="3" t="n">
        <v>2</v>
      </c>
      <c r="D773" s="3" t="n">
        <v>7</v>
      </c>
      <c r="E773" s="3" t="inlineStr">
        <is>
          <t>S25-07</t>
        </is>
      </c>
    </row>
    <row r="774">
      <c r="A774" s="2" t="n">
        <v>45699</v>
      </c>
      <c r="B774" s="3" t="n">
        <v>2025</v>
      </c>
      <c r="C774" s="3" t="n">
        <v>2</v>
      </c>
      <c r="D774" s="3" t="n">
        <v>7</v>
      </c>
      <c r="E774" s="3" t="inlineStr">
        <is>
          <t>S25-07</t>
        </is>
      </c>
    </row>
    <row r="775">
      <c r="A775" s="2" t="n">
        <v>45700</v>
      </c>
      <c r="B775" s="3" t="n">
        <v>2025</v>
      </c>
      <c r="C775" s="3" t="n">
        <v>2</v>
      </c>
      <c r="D775" s="3" t="n">
        <v>7</v>
      </c>
      <c r="E775" s="3" t="inlineStr">
        <is>
          <t>S25-07</t>
        </is>
      </c>
    </row>
    <row r="776">
      <c r="A776" s="2" t="n">
        <v>45701</v>
      </c>
      <c r="B776" s="3" t="n">
        <v>2025</v>
      </c>
      <c r="C776" s="3" t="n">
        <v>2</v>
      </c>
      <c r="D776" s="3" t="n">
        <v>7</v>
      </c>
      <c r="E776" s="3" t="inlineStr">
        <is>
          <t>S25-07</t>
        </is>
      </c>
    </row>
    <row r="777">
      <c r="A777" s="2" t="n">
        <v>45702</v>
      </c>
      <c r="B777" s="3" t="n">
        <v>2025</v>
      </c>
      <c r="C777" s="3" t="n">
        <v>2</v>
      </c>
      <c r="D777" s="3" t="n">
        <v>7</v>
      </c>
      <c r="E777" s="3" t="inlineStr">
        <is>
          <t>S25-07</t>
        </is>
      </c>
    </row>
    <row r="778">
      <c r="A778" s="2" t="n">
        <v>45703</v>
      </c>
      <c r="B778" s="3" t="n">
        <v>2025</v>
      </c>
      <c r="C778" s="3" t="n">
        <v>2</v>
      </c>
      <c r="D778" s="3" t="n">
        <v>7</v>
      </c>
      <c r="E778" s="3" t="inlineStr">
        <is>
          <t>S25-07</t>
        </is>
      </c>
    </row>
    <row r="779">
      <c r="A779" s="2" t="n">
        <v>45704</v>
      </c>
      <c r="B779" s="3" t="n">
        <v>2025</v>
      </c>
      <c r="C779" s="3" t="n">
        <v>2</v>
      </c>
      <c r="D779" s="3" t="n">
        <v>7</v>
      </c>
      <c r="E779" s="3" t="inlineStr">
        <is>
          <t>S25-07</t>
        </is>
      </c>
    </row>
    <row r="780">
      <c r="A780" s="2" t="n">
        <v>45705</v>
      </c>
      <c r="B780" s="3" t="n">
        <v>2025</v>
      </c>
      <c r="C780" s="3" t="n">
        <v>2</v>
      </c>
      <c r="D780" s="3" t="n">
        <v>8</v>
      </c>
      <c r="E780" s="3" t="inlineStr">
        <is>
          <t>S25-08</t>
        </is>
      </c>
    </row>
    <row r="781">
      <c r="A781" s="2" t="n">
        <v>45706</v>
      </c>
      <c r="B781" s="3" t="n">
        <v>2025</v>
      </c>
      <c r="C781" s="3" t="n">
        <v>2</v>
      </c>
      <c r="D781" s="3" t="n">
        <v>8</v>
      </c>
      <c r="E781" s="3" t="inlineStr">
        <is>
          <t>S25-08</t>
        </is>
      </c>
    </row>
    <row r="782">
      <c r="A782" s="2" t="n">
        <v>45707</v>
      </c>
      <c r="B782" s="3" t="n">
        <v>2025</v>
      </c>
      <c r="C782" s="3" t="n">
        <v>2</v>
      </c>
      <c r="D782" s="3" t="n">
        <v>8</v>
      </c>
      <c r="E782" s="3" t="inlineStr">
        <is>
          <t>S25-08</t>
        </is>
      </c>
    </row>
    <row r="783">
      <c r="A783" s="2" t="n">
        <v>45708</v>
      </c>
      <c r="B783" s="3" t="n">
        <v>2025</v>
      </c>
      <c r="C783" s="3" t="n">
        <v>2</v>
      </c>
      <c r="D783" s="3" t="n">
        <v>8</v>
      </c>
      <c r="E783" s="3" t="inlineStr">
        <is>
          <t>S25-08</t>
        </is>
      </c>
    </row>
    <row r="784">
      <c r="A784" s="2" t="n">
        <v>45709</v>
      </c>
      <c r="B784" s="3" t="n">
        <v>2025</v>
      </c>
      <c r="C784" s="3" t="n">
        <v>2</v>
      </c>
      <c r="D784" s="3" t="n">
        <v>8</v>
      </c>
      <c r="E784" s="3" t="inlineStr">
        <is>
          <t>S25-08</t>
        </is>
      </c>
    </row>
    <row r="785">
      <c r="A785" s="2" t="n">
        <v>45710</v>
      </c>
      <c r="B785" s="3" t="n">
        <v>2025</v>
      </c>
      <c r="C785" s="3" t="n">
        <v>2</v>
      </c>
      <c r="D785" s="3" t="n">
        <v>8</v>
      </c>
      <c r="E785" s="3" t="inlineStr">
        <is>
          <t>S25-08</t>
        </is>
      </c>
    </row>
    <row r="786">
      <c r="A786" s="2" t="n">
        <v>45711</v>
      </c>
      <c r="B786" s="3" t="n">
        <v>2025</v>
      </c>
      <c r="C786" s="3" t="n">
        <v>2</v>
      </c>
      <c r="D786" s="3" t="n">
        <v>8</v>
      </c>
      <c r="E786" s="3" t="inlineStr">
        <is>
          <t>S25-08</t>
        </is>
      </c>
    </row>
    <row r="787">
      <c r="A787" s="2" t="n">
        <v>45712</v>
      </c>
      <c r="B787" s="3" t="n">
        <v>2025</v>
      </c>
      <c r="C787" s="3" t="n">
        <v>2</v>
      </c>
      <c r="D787" s="3" t="n">
        <v>9</v>
      </c>
      <c r="E787" s="3" t="inlineStr">
        <is>
          <t>S25-09</t>
        </is>
      </c>
    </row>
    <row r="788">
      <c r="A788" s="2" t="n">
        <v>45713</v>
      </c>
      <c r="B788" s="3" t="n">
        <v>2025</v>
      </c>
      <c r="C788" s="3" t="n">
        <v>2</v>
      </c>
      <c r="D788" s="3" t="n">
        <v>9</v>
      </c>
      <c r="E788" s="3" t="inlineStr">
        <is>
          <t>S25-09</t>
        </is>
      </c>
    </row>
    <row r="789">
      <c r="A789" s="2" t="n">
        <v>45714</v>
      </c>
      <c r="B789" s="3" t="n">
        <v>2025</v>
      </c>
      <c r="C789" s="3" t="n">
        <v>2</v>
      </c>
      <c r="D789" s="3" t="n">
        <v>9</v>
      </c>
      <c r="E789" s="3" t="inlineStr">
        <is>
          <t>S25-09</t>
        </is>
      </c>
    </row>
    <row r="790">
      <c r="A790" s="2" t="n">
        <v>45715</v>
      </c>
      <c r="B790" s="3" t="n">
        <v>2025</v>
      </c>
      <c r="C790" s="3" t="n">
        <v>2</v>
      </c>
      <c r="D790" s="3" t="n">
        <v>9</v>
      </c>
      <c r="E790" s="3" t="inlineStr">
        <is>
          <t>S25-09</t>
        </is>
      </c>
    </row>
    <row r="791">
      <c r="A791" s="2" t="n">
        <v>45716</v>
      </c>
      <c r="B791" s="3" t="n">
        <v>2025</v>
      </c>
      <c r="C791" s="3" t="n">
        <v>2</v>
      </c>
      <c r="D791" s="3" t="n">
        <v>9</v>
      </c>
      <c r="E791" s="3" t="inlineStr">
        <is>
          <t>S25-09</t>
        </is>
      </c>
    </row>
    <row r="792">
      <c r="A792" s="2" t="n">
        <v>45717</v>
      </c>
      <c r="B792" s="3" t="n">
        <v>2025</v>
      </c>
      <c r="C792" s="3" t="n">
        <v>3</v>
      </c>
      <c r="D792" s="3" t="n">
        <v>9</v>
      </c>
      <c r="E792" s="3" t="inlineStr">
        <is>
          <t>S25-09</t>
        </is>
      </c>
    </row>
    <row r="793">
      <c r="A793" s="2" t="n">
        <v>45718</v>
      </c>
      <c r="B793" s="3" t="n">
        <v>2025</v>
      </c>
      <c r="C793" s="3" t="n">
        <v>3</v>
      </c>
      <c r="D793" s="3" t="n">
        <v>9</v>
      </c>
      <c r="E793" s="3" t="inlineStr">
        <is>
          <t>S25-09</t>
        </is>
      </c>
    </row>
    <row r="794">
      <c r="A794" s="2" t="n">
        <v>45719</v>
      </c>
      <c r="B794" s="3" t="n">
        <v>2025</v>
      </c>
      <c r="C794" s="3" t="n">
        <v>3</v>
      </c>
      <c r="D794" s="3" t="n">
        <v>10</v>
      </c>
      <c r="E794" s="3" t="inlineStr">
        <is>
          <t>S25-10</t>
        </is>
      </c>
    </row>
    <row r="795">
      <c r="A795" s="2" t="n">
        <v>45720</v>
      </c>
      <c r="B795" s="3" t="n">
        <v>2025</v>
      </c>
      <c r="C795" s="3" t="n">
        <v>3</v>
      </c>
      <c r="D795" s="3" t="n">
        <v>10</v>
      </c>
      <c r="E795" s="3" t="inlineStr">
        <is>
          <t>S25-10</t>
        </is>
      </c>
    </row>
    <row r="796">
      <c r="A796" s="2" t="n">
        <v>45721</v>
      </c>
      <c r="B796" s="3" t="n">
        <v>2025</v>
      </c>
      <c r="C796" s="3" t="n">
        <v>3</v>
      </c>
      <c r="D796" s="3" t="n">
        <v>10</v>
      </c>
      <c r="E796" s="3" t="inlineStr">
        <is>
          <t>S25-10</t>
        </is>
      </c>
    </row>
    <row r="797">
      <c r="A797" s="2" t="n">
        <v>45722</v>
      </c>
      <c r="B797" s="3" t="n">
        <v>2025</v>
      </c>
      <c r="C797" s="3" t="n">
        <v>3</v>
      </c>
      <c r="D797" s="3" t="n">
        <v>10</v>
      </c>
      <c r="E797" s="3" t="inlineStr">
        <is>
          <t>S25-10</t>
        </is>
      </c>
    </row>
    <row r="798">
      <c r="A798" s="2" t="n">
        <v>45723</v>
      </c>
      <c r="B798" s="3" t="n">
        <v>2025</v>
      </c>
      <c r="C798" s="3" t="n">
        <v>3</v>
      </c>
      <c r="D798" s="3" t="n">
        <v>10</v>
      </c>
      <c r="E798" s="3" t="inlineStr">
        <is>
          <t>S25-10</t>
        </is>
      </c>
    </row>
    <row r="799">
      <c r="A799" s="2" t="n">
        <v>45724</v>
      </c>
      <c r="B799" s="3" t="n">
        <v>2025</v>
      </c>
      <c r="C799" s="3" t="n">
        <v>3</v>
      </c>
      <c r="D799" s="3" t="n">
        <v>10</v>
      </c>
      <c r="E799" s="3" t="inlineStr">
        <is>
          <t>S25-10</t>
        </is>
      </c>
    </row>
    <row r="800">
      <c r="A800" s="2" t="n">
        <v>45725</v>
      </c>
      <c r="B800" s="3" t="n">
        <v>2025</v>
      </c>
      <c r="C800" s="3" t="n">
        <v>3</v>
      </c>
      <c r="D800" s="3" t="n">
        <v>10</v>
      </c>
      <c r="E800" s="3" t="inlineStr">
        <is>
          <t>S25-10</t>
        </is>
      </c>
    </row>
    <row r="801">
      <c r="A801" s="2" t="n">
        <v>45726</v>
      </c>
      <c r="B801" s="3" t="n">
        <v>2025</v>
      </c>
      <c r="C801" s="3" t="n">
        <v>3</v>
      </c>
      <c r="D801" s="3" t="n">
        <v>11</v>
      </c>
      <c r="E801" s="3" t="inlineStr">
        <is>
          <t>S25-11</t>
        </is>
      </c>
    </row>
    <row r="802">
      <c r="A802" s="2" t="n">
        <v>45727</v>
      </c>
      <c r="B802" s="3" t="n">
        <v>2025</v>
      </c>
      <c r="C802" s="3" t="n">
        <v>3</v>
      </c>
      <c r="D802" s="3" t="n">
        <v>11</v>
      </c>
      <c r="E802" s="3" t="inlineStr">
        <is>
          <t>S25-11</t>
        </is>
      </c>
    </row>
    <row r="803">
      <c r="A803" s="2" t="n">
        <v>45728</v>
      </c>
      <c r="B803" s="3" t="n">
        <v>2025</v>
      </c>
      <c r="C803" s="3" t="n">
        <v>3</v>
      </c>
      <c r="D803" s="3" t="n">
        <v>11</v>
      </c>
      <c r="E803" s="3" t="inlineStr">
        <is>
          <t>S25-11</t>
        </is>
      </c>
    </row>
    <row r="804">
      <c r="A804" s="2" t="n">
        <v>45729</v>
      </c>
      <c r="B804" s="3" t="n">
        <v>2025</v>
      </c>
      <c r="C804" s="3" t="n">
        <v>3</v>
      </c>
      <c r="D804" s="3" t="n">
        <v>11</v>
      </c>
      <c r="E804" s="3" t="inlineStr">
        <is>
          <t>S25-11</t>
        </is>
      </c>
    </row>
    <row r="805">
      <c r="A805" s="2" t="n">
        <v>45730</v>
      </c>
      <c r="B805" s="3" t="n">
        <v>2025</v>
      </c>
      <c r="C805" s="3" t="n">
        <v>3</v>
      </c>
      <c r="D805" s="3" t="n">
        <v>11</v>
      </c>
      <c r="E805" s="3" t="inlineStr">
        <is>
          <t>S25-11</t>
        </is>
      </c>
    </row>
    <row r="806">
      <c r="A806" s="2" t="n">
        <v>45731</v>
      </c>
      <c r="B806" s="3" t="n">
        <v>2025</v>
      </c>
      <c r="C806" s="3" t="n">
        <v>3</v>
      </c>
      <c r="D806" s="3" t="n">
        <v>11</v>
      </c>
      <c r="E806" s="3" t="inlineStr">
        <is>
          <t>S25-11</t>
        </is>
      </c>
    </row>
    <row r="807">
      <c r="A807" s="2" t="n">
        <v>45732</v>
      </c>
      <c r="B807" s="3" t="n">
        <v>2025</v>
      </c>
      <c r="C807" s="3" t="n">
        <v>3</v>
      </c>
      <c r="D807" s="3" t="n">
        <v>11</v>
      </c>
      <c r="E807" s="3" t="inlineStr">
        <is>
          <t>S25-11</t>
        </is>
      </c>
    </row>
    <row r="808">
      <c r="A808" s="2" t="n">
        <v>45733</v>
      </c>
      <c r="B808" s="3" t="n">
        <v>2025</v>
      </c>
      <c r="C808" s="3" t="n">
        <v>3</v>
      </c>
      <c r="D808" s="3" t="n">
        <v>12</v>
      </c>
      <c r="E808" s="3" t="inlineStr">
        <is>
          <t>S25-12</t>
        </is>
      </c>
    </row>
    <row r="809">
      <c r="A809" s="2" t="n">
        <v>45734</v>
      </c>
      <c r="B809" s="3" t="n">
        <v>2025</v>
      </c>
      <c r="C809" s="3" t="n">
        <v>3</v>
      </c>
      <c r="D809" s="3" t="n">
        <v>12</v>
      </c>
      <c r="E809" s="3" t="inlineStr">
        <is>
          <t>S25-12</t>
        </is>
      </c>
    </row>
    <row r="810">
      <c r="A810" s="2" t="n">
        <v>45735</v>
      </c>
      <c r="B810" s="3" t="n">
        <v>2025</v>
      </c>
      <c r="C810" s="3" t="n">
        <v>3</v>
      </c>
      <c r="D810" s="3" t="n">
        <v>12</v>
      </c>
      <c r="E810" s="3" t="inlineStr">
        <is>
          <t>S25-12</t>
        </is>
      </c>
    </row>
    <row r="811">
      <c r="A811" s="2" t="n">
        <v>45736</v>
      </c>
      <c r="B811" s="3" t="n">
        <v>2025</v>
      </c>
      <c r="C811" s="3" t="n">
        <v>3</v>
      </c>
      <c r="D811" s="3" t="n">
        <v>12</v>
      </c>
      <c r="E811" s="3" t="inlineStr">
        <is>
          <t>S25-12</t>
        </is>
      </c>
    </row>
    <row r="812">
      <c r="A812" s="2" t="n">
        <v>45737</v>
      </c>
      <c r="B812" s="3" t="n">
        <v>2025</v>
      </c>
      <c r="C812" s="3" t="n">
        <v>3</v>
      </c>
      <c r="D812" s="3" t="n">
        <v>12</v>
      </c>
      <c r="E812" s="3" t="inlineStr">
        <is>
          <t>S25-12</t>
        </is>
      </c>
    </row>
    <row r="813">
      <c r="A813" s="2" t="n">
        <v>45738</v>
      </c>
      <c r="B813" s="3" t="n">
        <v>2025</v>
      </c>
      <c r="C813" s="3" t="n">
        <v>3</v>
      </c>
      <c r="D813" s="3" t="n">
        <v>12</v>
      </c>
      <c r="E813" s="3" t="inlineStr">
        <is>
          <t>S25-12</t>
        </is>
      </c>
    </row>
    <row r="814">
      <c r="A814" s="2" t="n">
        <v>45739</v>
      </c>
      <c r="B814" s="3" t="n">
        <v>2025</v>
      </c>
      <c r="C814" s="3" t="n">
        <v>3</v>
      </c>
      <c r="D814" s="3" t="n">
        <v>12</v>
      </c>
      <c r="E814" s="3" t="inlineStr">
        <is>
          <t>S25-12</t>
        </is>
      </c>
    </row>
    <row r="815">
      <c r="A815" s="2" t="n">
        <v>45740</v>
      </c>
      <c r="B815" s="3" t="n">
        <v>2025</v>
      </c>
      <c r="C815" s="3" t="n">
        <v>3</v>
      </c>
      <c r="D815" s="3" t="n">
        <v>13</v>
      </c>
      <c r="E815" s="3" t="inlineStr">
        <is>
          <t>S25-13</t>
        </is>
      </c>
    </row>
    <row r="816">
      <c r="A816" s="2" t="n">
        <v>45741</v>
      </c>
      <c r="B816" s="3" t="n">
        <v>2025</v>
      </c>
      <c r="C816" s="3" t="n">
        <v>3</v>
      </c>
      <c r="D816" s="3" t="n">
        <v>13</v>
      </c>
      <c r="E816" s="3" t="inlineStr">
        <is>
          <t>S25-13</t>
        </is>
      </c>
    </row>
    <row r="817">
      <c r="A817" s="2" t="n">
        <v>45742</v>
      </c>
      <c r="B817" s="3" t="n">
        <v>2025</v>
      </c>
      <c r="C817" s="3" t="n">
        <v>3</v>
      </c>
      <c r="D817" s="3" t="n">
        <v>13</v>
      </c>
      <c r="E817" s="3" t="inlineStr">
        <is>
          <t>S25-13</t>
        </is>
      </c>
    </row>
    <row r="818">
      <c r="A818" s="2" t="n">
        <v>45743</v>
      </c>
      <c r="B818" s="3" t="n">
        <v>2025</v>
      </c>
      <c r="C818" s="3" t="n">
        <v>3</v>
      </c>
      <c r="D818" s="3" t="n">
        <v>13</v>
      </c>
      <c r="E818" s="3" t="inlineStr">
        <is>
          <t>S25-13</t>
        </is>
      </c>
    </row>
    <row r="819">
      <c r="A819" s="2" t="n">
        <v>45744</v>
      </c>
      <c r="B819" s="3" t="n">
        <v>2025</v>
      </c>
      <c r="C819" s="3" t="n">
        <v>3</v>
      </c>
      <c r="D819" s="3" t="n">
        <v>13</v>
      </c>
      <c r="E819" s="3" t="inlineStr">
        <is>
          <t>S25-13</t>
        </is>
      </c>
    </row>
    <row r="820">
      <c r="A820" s="2" t="n">
        <v>45745</v>
      </c>
      <c r="B820" s="3" t="n">
        <v>2025</v>
      </c>
      <c r="C820" s="3" t="n">
        <v>3</v>
      </c>
      <c r="D820" s="3" t="n">
        <v>13</v>
      </c>
      <c r="E820" s="3" t="inlineStr">
        <is>
          <t>S25-13</t>
        </is>
      </c>
    </row>
    <row r="821">
      <c r="A821" s="2" t="n">
        <v>45746</v>
      </c>
      <c r="B821" s="3" t="n">
        <v>2025</v>
      </c>
      <c r="C821" s="3" t="n">
        <v>3</v>
      </c>
      <c r="D821" s="3" t="n">
        <v>13</v>
      </c>
      <c r="E821" s="3" t="inlineStr">
        <is>
          <t>S25-13</t>
        </is>
      </c>
    </row>
    <row r="822">
      <c r="A822" s="2" t="n">
        <v>45747</v>
      </c>
      <c r="B822" s="3" t="n">
        <v>2025</v>
      </c>
      <c r="C822" s="3" t="n">
        <v>3</v>
      </c>
      <c r="D822" s="3" t="n">
        <v>14</v>
      </c>
      <c r="E822" s="3" t="inlineStr">
        <is>
          <t>S25-14</t>
        </is>
      </c>
    </row>
    <row r="823">
      <c r="A823" s="2" t="n">
        <v>45748</v>
      </c>
      <c r="B823" s="3" t="n">
        <v>2025</v>
      </c>
      <c r="C823" s="3" t="n">
        <v>4</v>
      </c>
      <c r="D823" s="3" t="n">
        <v>14</v>
      </c>
      <c r="E823" s="3" t="inlineStr">
        <is>
          <t>S25-14</t>
        </is>
      </c>
    </row>
    <row r="824">
      <c r="A824" s="2" t="n">
        <v>45749</v>
      </c>
      <c r="B824" s="3" t="n">
        <v>2025</v>
      </c>
      <c r="C824" s="3" t="n">
        <v>4</v>
      </c>
      <c r="D824" s="3" t="n">
        <v>14</v>
      </c>
      <c r="E824" s="3" t="inlineStr">
        <is>
          <t>S25-14</t>
        </is>
      </c>
    </row>
    <row r="825">
      <c r="A825" s="2" t="n">
        <v>45750</v>
      </c>
      <c r="B825" s="3" t="n">
        <v>2025</v>
      </c>
      <c r="C825" s="3" t="n">
        <v>4</v>
      </c>
      <c r="D825" s="3" t="n">
        <v>14</v>
      </c>
      <c r="E825" s="3" t="inlineStr">
        <is>
          <t>S25-14</t>
        </is>
      </c>
    </row>
    <row r="826">
      <c r="A826" s="2" t="n">
        <v>45751</v>
      </c>
      <c r="B826" s="3" t="n">
        <v>2025</v>
      </c>
      <c r="C826" s="3" t="n">
        <v>4</v>
      </c>
      <c r="D826" s="3" t="n">
        <v>14</v>
      </c>
      <c r="E826" s="3" t="inlineStr">
        <is>
          <t>S25-14</t>
        </is>
      </c>
    </row>
    <row r="827">
      <c r="A827" s="2" t="n">
        <v>45752</v>
      </c>
      <c r="B827" s="3" t="n">
        <v>2025</v>
      </c>
      <c r="C827" s="3" t="n">
        <v>4</v>
      </c>
      <c r="D827" s="3" t="n">
        <v>14</v>
      </c>
      <c r="E827" s="3" t="inlineStr">
        <is>
          <t>S25-14</t>
        </is>
      </c>
    </row>
    <row r="828">
      <c r="A828" s="2" t="n">
        <v>45753</v>
      </c>
      <c r="B828" s="3" t="n">
        <v>2025</v>
      </c>
      <c r="C828" s="3" t="n">
        <v>4</v>
      </c>
      <c r="D828" s="3" t="n">
        <v>14</v>
      </c>
      <c r="E828" s="3" t="inlineStr">
        <is>
          <t>S25-14</t>
        </is>
      </c>
    </row>
    <row r="829">
      <c r="A829" s="2" t="n">
        <v>45754</v>
      </c>
      <c r="B829" s="3" t="n">
        <v>2025</v>
      </c>
      <c r="C829" s="3" t="n">
        <v>4</v>
      </c>
      <c r="D829" s="3" t="n">
        <v>15</v>
      </c>
      <c r="E829" s="3" t="inlineStr">
        <is>
          <t>S25-15</t>
        </is>
      </c>
    </row>
    <row r="830">
      <c r="A830" s="2" t="n">
        <v>45755</v>
      </c>
      <c r="B830" s="3" t="n">
        <v>2025</v>
      </c>
      <c r="C830" s="3" t="n">
        <v>4</v>
      </c>
      <c r="D830" s="3" t="n">
        <v>15</v>
      </c>
      <c r="E830" s="3" t="inlineStr">
        <is>
          <t>S25-15</t>
        </is>
      </c>
    </row>
    <row r="831">
      <c r="A831" s="2" t="n">
        <v>45756</v>
      </c>
      <c r="B831" s="3" t="n">
        <v>2025</v>
      </c>
      <c r="C831" s="3" t="n">
        <v>4</v>
      </c>
      <c r="D831" s="3" t="n">
        <v>15</v>
      </c>
      <c r="E831" s="3" t="inlineStr">
        <is>
          <t>S25-15</t>
        </is>
      </c>
    </row>
    <row r="832">
      <c r="A832" s="2" t="n">
        <v>45757</v>
      </c>
      <c r="B832" s="3" t="n">
        <v>2025</v>
      </c>
      <c r="C832" s="3" t="n">
        <v>4</v>
      </c>
      <c r="D832" s="3" t="n">
        <v>15</v>
      </c>
      <c r="E832" s="3" t="inlineStr">
        <is>
          <t>S25-15</t>
        </is>
      </c>
    </row>
    <row r="833">
      <c r="A833" s="2" t="n">
        <v>45758</v>
      </c>
      <c r="B833" s="3" t="n">
        <v>2025</v>
      </c>
      <c r="C833" s="3" t="n">
        <v>4</v>
      </c>
      <c r="D833" s="3" t="n">
        <v>15</v>
      </c>
      <c r="E833" s="3" t="inlineStr">
        <is>
          <t>S25-15</t>
        </is>
      </c>
    </row>
    <row r="834">
      <c r="A834" s="2" t="n">
        <v>45759</v>
      </c>
      <c r="B834" s="3" t="n">
        <v>2025</v>
      </c>
      <c r="C834" s="3" t="n">
        <v>4</v>
      </c>
      <c r="D834" s="3" t="n">
        <v>15</v>
      </c>
      <c r="E834" s="3" t="inlineStr">
        <is>
          <t>S25-15</t>
        </is>
      </c>
    </row>
    <row r="835">
      <c r="A835" s="2" t="n">
        <v>45760</v>
      </c>
      <c r="B835" s="3" t="n">
        <v>2025</v>
      </c>
      <c r="C835" s="3" t="n">
        <v>4</v>
      </c>
      <c r="D835" s="3" t="n">
        <v>15</v>
      </c>
      <c r="E835" s="3" t="inlineStr">
        <is>
          <t>S25-15</t>
        </is>
      </c>
    </row>
    <row r="836">
      <c r="A836" s="2" t="n">
        <v>45761</v>
      </c>
      <c r="B836" s="3" t="n">
        <v>2025</v>
      </c>
      <c r="C836" s="3" t="n">
        <v>4</v>
      </c>
      <c r="D836" s="3" t="n">
        <v>16</v>
      </c>
      <c r="E836" s="3" t="inlineStr">
        <is>
          <t>S25-16</t>
        </is>
      </c>
    </row>
    <row r="837">
      <c r="A837" s="2" t="n">
        <v>45762</v>
      </c>
      <c r="B837" s="3" t="n">
        <v>2025</v>
      </c>
      <c r="C837" s="3" t="n">
        <v>4</v>
      </c>
      <c r="D837" s="3" t="n">
        <v>16</v>
      </c>
      <c r="E837" s="3" t="inlineStr">
        <is>
          <t>S25-16</t>
        </is>
      </c>
    </row>
    <row r="838">
      <c r="A838" s="2" t="n">
        <v>45763</v>
      </c>
      <c r="B838" s="3" t="n">
        <v>2025</v>
      </c>
      <c r="C838" s="3" t="n">
        <v>4</v>
      </c>
      <c r="D838" s="3" t="n">
        <v>16</v>
      </c>
      <c r="E838" s="3" t="inlineStr">
        <is>
          <t>S25-16</t>
        </is>
      </c>
    </row>
    <row r="839">
      <c r="A839" s="2" t="n">
        <v>45764</v>
      </c>
      <c r="B839" s="3" t="n">
        <v>2025</v>
      </c>
      <c r="C839" s="3" t="n">
        <v>4</v>
      </c>
      <c r="D839" s="3" t="n">
        <v>16</v>
      </c>
      <c r="E839" s="3" t="inlineStr">
        <is>
          <t>S25-16</t>
        </is>
      </c>
    </row>
    <row r="840">
      <c r="A840" s="2" t="n">
        <v>45765</v>
      </c>
      <c r="B840" s="3" t="n">
        <v>2025</v>
      </c>
      <c r="C840" s="3" t="n">
        <v>4</v>
      </c>
      <c r="D840" s="3" t="n">
        <v>16</v>
      </c>
      <c r="E840" s="3" t="inlineStr">
        <is>
          <t>S25-16</t>
        </is>
      </c>
    </row>
    <row r="841">
      <c r="A841" s="2" t="n">
        <v>45766</v>
      </c>
      <c r="B841" s="3" t="n">
        <v>2025</v>
      </c>
      <c r="C841" s="3" t="n">
        <v>4</v>
      </c>
      <c r="D841" s="3" t="n">
        <v>16</v>
      </c>
      <c r="E841" s="3" t="inlineStr">
        <is>
          <t>S25-16</t>
        </is>
      </c>
    </row>
    <row r="842">
      <c r="A842" s="2" t="n">
        <v>45767</v>
      </c>
      <c r="B842" s="3" t="n">
        <v>2025</v>
      </c>
      <c r="C842" s="3" t="n">
        <v>4</v>
      </c>
      <c r="D842" s="3" t="n">
        <v>16</v>
      </c>
      <c r="E842" s="3" t="inlineStr">
        <is>
          <t>S25-16</t>
        </is>
      </c>
    </row>
    <row r="843">
      <c r="A843" s="2" t="n">
        <v>45768</v>
      </c>
      <c r="B843" s="3" t="n">
        <v>2025</v>
      </c>
      <c r="C843" s="3" t="n">
        <v>4</v>
      </c>
      <c r="D843" s="3" t="n">
        <v>17</v>
      </c>
      <c r="E843" s="3" t="inlineStr">
        <is>
          <t>S25-17</t>
        </is>
      </c>
    </row>
    <row r="844">
      <c r="A844" s="2" t="n">
        <v>45769</v>
      </c>
      <c r="B844" s="3" t="n">
        <v>2025</v>
      </c>
      <c r="C844" s="3" t="n">
        <v>4</v>
      </c>
      <c r="D844" s="3" t="n">
        <v>17</v>
      </c>
      <c r="E844" s="3" t="inlineStr">
        <is>
          <t>S25-17</t>
        </is>
      </c>
    </row>
    <row r="845">
      <c r="A845" s="2" t="n">
        <v>45770</v>
      </c>
      <c r="B845" s="3" t="n">
        <v>2025</v>
      </c>
      <c r="C845" s="3" t="n">
        <v>4</v>
      </c>
      <c r="D845" s="3" t="n">
        <v>17</v>
      </c>
      <c r="E845" s="3" t="inlineStr">
        <is>
          <t>S25-17</t>
        </is>
      </c>
    </row>
    <row r="846">
      <c r="A846" s="2" t="n">
        <v>45771</v>
      </c>
      <c r="B846" s="3" t="n">
        <v>2025</v>
      </c>
      <c r="C846" s="3" t="n">
        <v>4</v>
      </c>
      <c r="D846" s="3" t="n">
        <v>17</v>
      </c>
      <c r="E846" s="3" t="inlineStr">
        <is>
          <t>S25-17</t>
        </is>
      </c>
    </row>
    <row r="847">
      <c r="A847" s="2" t="n">
        <v>45772</v>
      </c>
      <c r="B847" s="3" t="n">
        <v>2025</v>
      </c>
      <c r="C847" s="3" t="n">
        <v>4</v>
      </c>
      <c r="D847" s="3" t="n">
        <v>17</v>
      </c>
      <c r="E847" s="3" t="inlineStr">
        <is>
          <t>S25-17</t>
        </is>
      </c>
    </row>
    <row r="848">
      <c r="A848" s="2" t="n">
        <v>45773</v>
      </c>
      <c r="B848" s="3" t="n">
        <v>2025</v>
      </c>
      <c r="C848" s="3" t="n">
        <v>4</v>
      </c>
      <c r="D848" s="3" t="n">
        <v>17</v>
      </c>
      <c r="E848" s="3" t="inlineStr">
        <is>
          <t>S25-17</t>
        </is>
      </c>
    </row>
    <row r="849">
      <c r="A849" s="2" t="n">
        <v>45774</v>
      </c>
      <c r="B849" s="3" t="n">
        <v>2025</v>
      </c>
      <c r="C849" s="3" t="n">
        <v>4</v>
      </c>
      <c r="D849" s="3" t="n">
        <v>17</v>
      </c>
      <c r="E849" s="3" t="inlineStr">
        <is>
          <t>S25-17</t>
        </is>
      </c>
    </row>
    <row r="850">
      <c r="A850" s="2" t="n">
        <v>45775</v>
      </c>
      <c r="B850" s="3" t="n">
        <v>2025</v>
      </c>
      <c r="C850" s="3" t="n">
        <v>4</v>
      </c>
      <c r="D850" s="3" t="n">
        <v>18</v>
      </c>
      <c r="E850" s="3" t="inlineStr">
        <is>
          <t>S25-18</t>
        </is>
      </c>
    </row>
    <row r="851">
      <c r="A851" s="2" t="n">
        <v>45776</v>
      </c>
      <c r="B851" s="3" t="n">
        <v>2025</v>
      </c>
      <c r="C851" s="3" t="n">
        <v>4</v>
      </c>
      <c r="D851" s="3" t="n">
        <v>18</v>
      </c>
      <c r="E851" s="3" t="inlineStr">
        <is>
          <t>S25-18</t>
        </is>
      </c>
    </row>
    <row r="852">
      <c r="A852" s="2" t="n">
        <v>45777</v>
      </c>
      <c r="B852" s="3" t="n">
        <v>2025</v>
      </c>
      <c r="C852" s="3" t="n">
        <v>4</v>
      </c>
      <c r="D852" s="3" t="n">
        <v>18</v>
      </c>
      <c r="E852" s="3" t="inlineStr">
        <is>
          <t>S25-18</t>
        </is>
      </c>
    </row>
    <row r="853">
      <c r="A853" s="2" t="n">
        <v>45778</v>
      </c>
      <c r="B853" s="3" t="n">
        <v>2025</v>
      </c>
      <c r="C853" s="3" t="n">
        <v>5</v>
      </c>
      <c r="D853" s="3" t="n">
        <v>18</v>
      </c>
      <c r="E853" s="3" t="inlineStr">
        <is>
          <t>S25-18</t>
        </is>
      </c>
    </row>
    <row r="854">
      <c r="A854" s="2" t="n">
        <v>45779</v>
      </c>
      <c r="B854" s="3" t="n">
        <v>2025</v>
      </c>
      <c r="C854" s="3" t="n">
        <v>5</v>
      </c>
      <c r="D854" s="3" t="n">
        <v>18</v>
      </c>
      <c r="E854" s="3" t="inlineStr">
        <is>
          <t>S25-18</t>
        </is>
      </c>
    </row>
    <row r="855">
      <c r="A855" s="2" t="n">
        <v>45780</v>
      </c>
      <c r="B855" s="3" t="n">
        <v>2025</v>
      </c>
      <c r="C855" s="3" t="n">
        <v>5</v>
      </c>
      <c r="D855" s="3" t="n">
        <v>18</v>
      </c>
      <c r="E855" s="3" t="inlineStr">
        <is>
          <t>S25-18</t>
        </is>
      </c>
    </row>
    <row r="856">
      <c r="A856" s="2" t="n">
        <v>45781</v>
      </c>
      <c r="B856" s="3" t="n">
        <v>2025</v>
      </c>
      <c r="C856" s="3" t="n">
        <v>5</v>
      </c>
      <c r="D856" s="3" t="n">
        <v>18</v>
      </c>
      <c r="E856" s="3" t="inlineStr">
        <is>
          <t>S25-18</t>
        </is>
      </c>
    </row>
    <row r="857">
      <c r="A857" s="2" t="n">
        <v>45782</v>
      </c>
      <c r="B857" s="3" t="n">
        <v>2025</v>
      </c>
      <c r="C857" s="3" t="n">
        <v>5</v>
      </c>
      <c r="D857" s="3" t="n">
        <v>19</v>
      </c>
      <c r="E857" s="3" t="inlineStr">
        <is>
          <t>S25-19</t>
        </is>
      </c>
    </row>
    <row r="858">
      <c r="A858" s="2" t="n">
        <v>45783</v>
      </c>
      <c r="B858" s="3" t="n">
        <v>2025</v>
      </c>
      <c r="C858" s="3" t="n">
        <v>5</v>
      </c>
      <c r="D858" s="3" t="n">
        <v>19</v>
      </c>
      <c r="E858" s="3" t="inlineStr">
        <is>
          <t>S25-19</t>
        </is>
      </c>
    </row>
    <row r="859">
      <c r="A859" s="2" t="n">
        <v>45784</v>
      </c>
      <c r="B859" s="3" t="n">
        <v>2025</v>
      </c>
      <c r="C859" s="3" t="n">
        <v>5</v>
      </c>
      <c r="D859" s="3" t="n">
        <v>19</v>
      </c>
      <c r="E859" s="3" t="inlineStr">
        <is>
          <t>S25-19</t>
        </is>
      </c>
    </row>
    <row r="860">
      <c r="A860" s="2" t="n">
        <v>45785</v>
      </c>
      <c r="B860" s="3" t="n">
        <v>2025</v>
      </c>
      <c r="C860" s="3" t="n">
        <v>5</v>
      </c>
      <c r="D860" s="3" t="n">
        <v>19</v>
      </c>
      <c r="E860" s="3" t="inlineStr">
        <is>
          <t>S25-19</t>
        </is>
      </c>
    </row>
    <row r="861">
      <c r="A861" s="2" t="n">
        <v>45786</v>
      </c>
      <c r="B861" s="3" t="n">
        <v>2025</v>
      </c>
      <c r="C861" s="3" t="n">
        <v>5</v>
      </c>
      <c r="D861" s="3" t="n">
        <v>19</v>
      </c>
      <c r="E861" s="3" t="inlineStr">
        <is>
          <t>S25-19</t>
        </is>
      </c>
    </row>
    <row r="862">
      <c r="A862" s="2" t="n">
        <v>45787</v>
      </c>
      <c r="B862" s="3" t="n">
        <v>2025</v>
      </c>
      <c r="C862" s="3" t="n">
        <v>5</v>
      </c>
      <c r="D862" s="3" t="n">
        <v>19</v>
      </c>
      <c r="E862" s="3" t="inlineStr">
        <is>
          <t>S25-19</t>
        </is>
      </c>
    </row>
    <row r="863">
      <c r="A863" s="2" t="n">
        <v>45788</v>
      </c>
      <c r="B863" s="3" t="n">
        <v>2025</v>
      </c>
      <c r="C863" s="3" t="n">
        <v>5</v>
      </c>
      <c r="D863" s="3" t="n">
        <v>19</v>
      </c>
      <c r="E863" s="3" t="inlineStr">
        <is>
          <t>S25-19</t>
        </is>
      </c>
    </row>
    <row r="864">
      <c r="A864" s="2" t="n">
        <v>45789</v>
      </c>
      <c r="B864" s="3" t="n">
        <v>2025</v>
      </c>
      <c r="C864" s="3" t="n">
        <v>5</v>
      </c>
      <c r="D864" s="3" t="n">
        <v>20</v>
      </c>
      <c r="E864" s="3" t="inlineStr">
        <is>
          <t>S25-20</t>
        </is>
      </c>
    </row>
    <row r="865">
      <c r="A865" s="2" t="n">
        <v>45790</v>
      </c>
      <c r="B865" s="3" t="n">
        <v>2025</v>
      </c>
      <c r="C865" s="3" t="n">
        <v>5</v>
      </c>
      <c r="D865" s="3" t="n">
        <v>20</v>
      </c>
      <c r="E865" s="3" t="inlineStr">
        <is>
          <t>S25-20</t>
        </is>
      </c>
    </row>
    <row r="866">
      <c r="A866" s="2" t="n">
        <v>45791</v>
      </c>
      <c r="B866" s="3" t="n">
        <v>2025</v>
      </c>
      <c r="C866" s="3" t="n">
        <v>5</v>
      </c>
      <c r="D866" s="3" t="n">
        <v>20</v>
      </c>
      <c r="E866" s="3" t="inlineStr">
        <is>
          <t>S25-20</t>
        </is>
      </c>
    </row>
    <row r="867">
      <c r="A867" s="2" t="n">
        <v>45792</v>
      </c>
      <c r="B867" s="3" t="n">
        <v>2025</v>
      </c>
      <c r="C867" s="3" t="n">
        <v>5</v>
      </c>
      <c r="D867" s="3" t="n">
        <v>20</v>
      </c>
      <c r="E867" s="3" t="inlineStr">
        <is>
          <t>S25-20</t>
        </is>
      </c>
    </row>
    <row r="868">
      <c r="A868" s="2" t="n">
        <v>45793</v>
      </c>
      <c r="B868" s="3" t="n">
        <v>2025</v>
      </c>
      <c r="C868" s="3" t="n">
        <v>5</v>
      </c>
      <c r="D868" s="3" t="n">
        <v>20</v>
      </c>
      <c r="E868" s="3" t="inlineStr">
        <is>
          <t>S25-20</t>
        </is>
      </c>
    </row>
    <row r="869">
      <c r="A869" s="2" t="n">
        <v>45794</v>
      </c>
      <c r="B869" s="3" t="n">
        <v>2025</v>
      </c>
      <c r="C869" s="3" t="n">
        <v>5</v>
      </c>
      <c r="D869" s="3" t="n">
        <v>20</v>
      </c>
      <c r="E869" s="3" t="inlineStr">
        <is>
          <t>S25-20</t>
        </is>
      </c>
    </row>
    <row r="870">
      <c r="A870" s="2" t="n">
        <v>45795</v>
      </c>
      <c r="B870" s="3" t="n">
        <v>2025</v>
      </c>
      <c r="C870" s="3" t="n">
        <v>5</v>
      </c>
      <c r="D870" s="3" t="n">
        <v>20</v>
      </c>
      <c r="E870" s="3" t="inlineStr">
        <is>
          <t>S25-20</t>
        </is>
      </c>
    </row>
    <row r="871">
      <c r="A871" s="2" t="n">
        <v>45796</v>
      </c>
      <c r="B871" s="3" t="n">
        <v>2025</v>
      </c>
      <c r="C871" s="3" t="n">
        <v>5</v>
      </c>
      <c r="D871" s="3" t="n">
        <v>21</v>
      </c>
      <c r="E871" s="3" t="inlineStr">
        <is>
          <t>S25-21</t>
        </is>
      </c>
    </row>
    <row r="872">
      <c r="A872" s="2" t="n">
        <v>45797</v>
      </c>
      <c r="B872" s="3" t="n">
        <v>2025</v>
      </c>
      <c r="C872" s="3" t="n">
        <v>5</v>
      </c>
      <c r="D872" s="3" t="n">
        <v>21</v>
      </c>
      <c r="E872" s="3" t="inlineStr">
        <is>
          <t>S25-21</t>
        </is>
      </c>
    </row>
    <row r="873">
      <c r="A873" s="2" t="n">
        <v>45798</v>
      </c>
      <c r="B873" s="3" t="n">
        <v>2025</v>
      </c>
      <c r="C873" s="3" t="n">
        <v>5</v>
      </c>
      <c r="D873" s="3" t="n">
        <v>21</v>
      </c>
      <c r="E873" s="3" t="inlineStr">
        <is>
          <t>S25-21</t>
        </is>
      </c>
    </row>
    <row r="874">
      <c r="A874" s="2" t="n">
        <v>45799</v>
      </c>
      <c r="B874" s="3" t="n">
        <v>2025</v>
      </c>
      <c r="C874" s="3" t="n">
        <v>5</v>
      </c>
      <c r="D874" s="3" t="n">
        <v>21</v>
      </c>
      <c r="E874" s="3" t="inlineStr">
        <is>
          <t>S25-21</t>
        </is>
      </c>
    </row>
    <row r="875">
      <c r="A875" s="2" t="n">
        <v>45800</v>
      </c>
      <c r="B875" s="3" t="n">
        <v>2025</v>
      </c>
      <c r="C875" s="3" t="n">
        <v>5</v>
      </c>
      <c r="D875" s="3" t="n">
        <v>21</v>
      </c>
      <c r="E875" s="3" t="inlineStr">
        <is>
          <t>S25-21</t>
        </is>
      </c>
    </row>
    <row r="876">
      <c r="A876" s="2" t="n">
        <v>45801</v>
      </c>
      <c r="B876" s="3" t="n">
        <v>2025</v>
      </c>
      <c r="C876" s="3" t="n">
        <v>5</v>
      </c>
      <c r="D876" s="3" t="n">
        <v>21</v>
      </c>
      <c r="E876" s="3" t="inlineStr">
        <is>
          <t>S25-21</t>
        </is>
      </c>
    </row>
    <row r="877">
      <c r="A877" s="2" t="n">
        <v>45802</v>
      </c>
      <c r="B877" s="3" t="n">
        <v>2025</v>
      </c>
      <c r="C877" s="3" t="n">
        <v>5</v>
      </c>
      <c r="D877" s="3" t="n">
        <v>21</v>
      </c>
      <c r="E877" s="3" t="inlineStr">
        <is>
          <t>S25-21</t>
        </is>
      </c>
    </row>
    <row r="878">
      <c r="A878" s="2" t="n">
        <v>45803</v>
      </c>
      <c r="B878" s="3" t="n">
        <v>2025</v>
      </c>
      <c r="C878" s="3" t="n">
        <v>5</v>
      </c>
      <c r="D878" s="3" t="n">
        <v>22</v>
      </c>
      <c r="E878" s="3" t="inlineStr">
        <is>
          <t>S25-22</t>
        </is>
      </c>
    </row>
    <row r="879">
      <c r="A879" s="2" t="n">
        <v>45804</v>
      </c>
      <c r="B879" s="3" t="n">
        <v>2025</v>
      </c>
      <c r="C879" s="3" t="n">
        <v>5</v>
      </c>
      <c r="D879" s="3" t="n">
        <v>22</v>
      </c>
      <c r="E879" s="3" t="inlineStr">
        <is>
          <t>S25-22</t>
        </is>
      </c>
    </row>
    <row r="880">
      <c r="A880" s="2" t="n">
        <v>45805</v>
      </c>
      <c r="B880" s="3" t="n">
        <v>2025</v>
      </c>
      <c r="C880" s="3" t="n">
        <v>5</v>
      </c>
      <c r="D880" s="3" t="n">
        <v>22</v>
      </c>
      <c r="E880" s="3" t="inlineStr">
        <is>
          <t>S25-22</t>
        </is>
      </c>
    </row>
    <row r="881">
      <c r="A881" s="2" t="n">
        <v>45806</v>
      </c>
      <c r="B881" s="3" t="n">
        <v>2025</v>
      </c>
      <c r="C881" s="3" t="n">
        <v>5</v>
      </c>
      <c r="D881" s="3" t="n">
        <v>22</v>
      </c>
      <c r="E881" s="3" t="inlineStr">
        <is>
          <t>S25-22</t>
        </is>
      </c>
    </row>
    <row r="882">
      <c r="A882" s="2" t="n">
        <v>45807</v>
      </c>
      <c r="B882" s="3" t="n">
        <v>2025</v>
      </c>
      <c r="C882" s="3" t="n">
        <v>5</v>
      </c>
      <c r="D882" s="3" t="n">
        <v>22</v>
      </c>
      <c r="E882" s="3" t="inlineStr">
        <is>
          <t>S25-22</t>
        </is>
      </c>
    </row>
    <row r="883">
      <c r="A883" s="2" t="n">
        <v>45808</v>
      </c>
      <c r="B883" s="3" t="n">
        <v>2025</v>
      </c>
      <c r="C883" s="3" t="n">
        <v>5</v>
      </c>
      <c r="D883" s="3" t="n">
        <v>22</v>
      </c>
      <c r="E883" s="3" t="inlineStr">
        <is>
          <t>S25-22</t>
        </is>
      </c>
    </row>
    <row r="884">
      <c r="A884" s="2" t="n">
        <v>45809</v>
      </c>
      <c r="B884" s="3" t="n">
        <v>2025</v>
      </c>
      <c r="C884" s="3" t="n">
        <v>6</v>
      </c>
      <c r="D884" s="3" t="n">
        <v>22</v>
      </c>
      <c r="E884" s="3" t="inlineStr">
        <is>
          <t>S25-22</t>
        </is>
      </c>
    </row>
    <row r="885">
      <c r="A885" s="2" t="n">
        <v>45810</v>
      </c>
      <c r="B885" s="3" t="n">
        <v>2025</v>
      </c>
      <c r="C885" s="3" t="n">
        <v>6</v>
      </c>
      <c r="D885" s="3" t="n">
        <v>23</v>
      </c>
      <c r="E885" s="3" t="inlineStr">
        <is>
          <t>S25-23</t>
        </is>
      </c>
    </row>
    <row r="886">
      <c r="A886" s="2" t="n">
        <v>45811</v>
      </c>
      <c r="B886" s="3" t="n">
        <v>2025</v>
      </c>
      <c r="C886" s="3" t="n">
        <v>6</v>
      </c>
      <c r="D886" s="3" t="n">
        <v>23</v>
      </c>
      <c r="E886" s="3" t="inlineStr">
        <is>
          <t>S25-23</t>
        </is>
      </c>
    </row>
    <row r="887">
      <c r="A887" s="2" t="n">
        <v>45812</v>
      </c>
      <c r="B887" s="3" t="n">
        <v>2025</v>
      </c>
      <c r="C887" s="3" t="n">
        <v>6</v>
      </c>
      <c r="D887" s="3" t="n">
        <v>23</v>
      </c>
      <c r="E887" s="3" t="inlineStr">
        <is>
          <t>S25-23</t>
        </is>
      </c>
    </row>
    <row r="888">
      <c r="A888" s="2" t="n">
        <v>45813</v>
      </c>
      <c r="B888" s="3" t="n">
        <v>2025</v>
      </c>
      <c r="C888" s="3" t="n">
        <v>6</v>
      </c>
      <c r="D888" s="3" t="n">
        <v>23</v>
      </c>
      <c r="E888" s="3" t="inlineStr">
        <is>
          <t>S25-23</t>
        </is>
      </c>
    </row>
    <row r="889">
      <c r="A889" s="2" t="n">
        <v>45814</v>
      </c>
      <c r="B889" s="3" t="n">
        <v>2025</v>
      </c>
      <c r="C889" s="3" t="n">
        <v>6</v>
      </c>
      <c r="D889" s="3" t="n">
        <v>23</v>
      </c>
      <c r="E889" s="3" t="inlineStr">
        <is>
          <t>S25-23</t>
        </is>
      </c>
    </row>
    <row r="890">
      <c r="A890" s="2" t="n">
        <v>45815</v>
      </c>
      <c r="B890" s="3" t="n">
        <v>2025</v>
      </c>
      <c r="C890" s="3" t="n">
        <v>6</v>
      </c>
      <c r="D890" s="3" t="n">
        <v>23</v>
      </c>
      <c r="E890" s="3" t="inlineStr">
        <is>
          <t>S25-23</t>
        </is>
      </c>
    </row>
    <row r="891">
      <c r="A891" s="2" t="n">
        <v>45816</v>
      </c>
      <c r="B891" s="3" t="n">
        <v>2025</v>
      </c>
      <c r="C891" s="3" t="n">
        <v>6</v>
      </c>
      <c r="D891" s="3" t="n">
        <v>23</v>
      </c>
      <c r="E891" s="3" t="inlineStr">
        <is>
          <t>S25-23</t>
        </is>
      </c>
    </row>
    <row r="892">
      <c r="A892" s="2" t="n">
        <v>45817</v>
      </c>
      <c r="B892" s="3" t="n">
        <v>2025</v>
      </c>
      <c r="C892" s="3" t="n">
        <v>6</v>
      </c>
      <c r="D892" s="3" t="n">
        <v>24</v>
      </c>
      <c r="E892" s="3" t="inlineStr">
        <is>
          <t>S25-24</t>
        </is>
      </c>
    </row>
    <row r="893">
      <c r="A893" s="2" t="n">
        <v>45818</v>
      </c>
      <c r="B893" s="3" t="n">
        <v>2025</v>
      </c>
      <c r="C893" s="3" t="n">
        <v>6</v>
      </c>
      <c r="D893" s="3" t="n">
        <v>24</v>
      </c>
      <c r="E893" s="3" t="inlineStr">
        <is>
          <t>S25-24</t>
        </is>
      </c>
    </row>
    <row r="894">
      <c r="A894" s="2" t="n">
        <v>45819</v>
      </c>
      <c r="B894" s="3" t="n">
        <v>2025</v>
      </c>
      <c r="C894" s="3" t="n">
        <v>6</v>
      </c>
      <c r="D894" s="3" t="n">
        <v>24</v>
      </c>
      <c r="E894" s="3" t="inlineStr">
        <is>
          <t>S25-24</t>
        </is>
      </c>
    </row>
    <row r="895">
      <c r="A895" s="2" t="n">
        <v>45820</v>
      </c>
      <c r="B895" s="3" t="n">
        <v>2025</v>
      </c>
      <c r="C895" s="3" t="n">
        <v>6</v>
      </c>
      <c r="D895" s="3" t="n">
        <v>24</v>
      </c>
      <c r="E895" s="3" t="inlineStr">
        <is>
          <t>S25-24</t>
        </is>
      </c>
    </row>
    <row r="896">
      <c r="A896" s="2" t="n">
        <v>45821</v>
      </c>
      <c r="B896" s="3" t="n">
        <v>2025</v>
      </c>
      <c r="C896" s="3" t="n">
        <v>6</v>
      </c>
      <c r="D896" s="3" t="n">
        <v>24</v>
      </c>
      <c r="E896" s="3" t="inlineStr">
        <is>
          <t>S25-24</t>
        </is>
      </c>
    </row>
    <row r="897">
      <c r="A897" s="2" t="n">
        <v>45822</v>
      </c>
      <c r="B897" s="3" t="n">
        <v>2025</v>
      </c>
      <c r="C897" s="3" t="n">
        <v>6</v>
      </c>
      <c r="D897" s="3" t="n">
        <v>24</v>
      </c>
      <c r="E897" s="3" t="inlineStr">
        <is>
          <t>S25-24</t>
        </is>
      </c>
    </row>
    <row r="898">
      <c r="A898" s="2" t="n">
        <v>45823</v>
      </c>
      <c r="B898" s="3" t="n">
        <v>2025</v>
      </c>
      <c r="C898" s="3" t="n">
        <v>6</v>
      </c>
      <c r="D898" s="3" t="n">
        <v>24</v>
      </c>
      <c r="E898" s="3" t="inlineStr">
        <is>
          <t>S25-24</t>
        </is>
      </c>
    </row>
    <row r="899">
      <c r="A899" s="2" t="n">
        <v>45824</v>
      </c>
      <c r="B899" s="3" t="n">
        <v>2025</v>
      </c>
      <c r="C899" s="3" t="n">
        <v>6</v>
      </c>
      <c r="D899" s="3" t="n">
        <v>25</v>
      </c>
      <c r="E899" s="3" t="inlineStr">
        <is>
          <t>S25-25</t>
        </is>
      </c>
    </row>
    <row r="900">
      <c r="A900" s="2" t="n">
        <v>45825</v>
      </c>
      <c r="B900" s="3" t="n">
        <v>2025</v>
      </c>
      <c r="C900" s="3" t="n">
        <v>6</v>
      </c>
      <c r="D900" s="3" t="n">
        <v>25</v>
      </c>
      <c r="E900" s="3" t="inlineStr">
        <is>
          <t>S25-25</t>
        </is>
      </c>
    </row>
    <row r="901">
      <c r="A901" s="2" t="n">
        <v>45826</v>
      </c>
      <c r="B901" s="3" t="n">
        <v>2025</v>
      </c>
      <c r="C901" s="3" t="n">
        <v>6</v>
      </c>
      <c r="D901" s="3" t="n">
        <v>25</v>
      </c>
      <c r="E901" s="3" t="inlineStr">
        <is>
          <t>S25-25</t>
        </is>
      </c>
    </row>
    <row r="902">
      <c r="A902" s="2" t="n">
        <v>45827</v>
      </c>
      <c r="B902" s="3" t="n">
        <v>2025</v>
      </c>
      <c r="C902" s="3" t="n">
        <v>6</v>
      </c>
      <c r="D902" s="3" t="n">
        <v>25</v>
      </c>
      <c r="E902" s="3" t="inlineStr">
        <is>
          <t>S25-25</t>
        </is>
      </c>
    </row>
    <row r="903">
      <c r="A903" s="2" t="n">
        <v>45828</v>
      </c>
      <c r="B903" s="3" t="n">
        <v>2025</v>
      </c>
      <c r="C903" s="3" t="n">
        <v>6</v>
      </c>
      <c r="D903" s="3" t="n">
        <v>25</v>
      </c>
      <c r="E903" s="3" t="inlineStr">
        <is>
          <t>S25-25</t>
        </is>
      </c>
    </row>
    <row r="904">
      <c r="A904" s="2" t="n">
        <v>45829</v>
      </c>
      <c r="B904" s="3" t="n">
        <v>2025</v>
      </c>
      <c r="C904" s="3" t="n">
        <v>6</v>
      </c>
      <c r="D904" s="3" t="n">
        <v>25</v>
      </c>
      <c r="E904" s="3" t="inlineStr">
        <is>
          <t>S25-25</t>
        </is>
      </c>
    </row>
    <row r="905">
      <c r="A905" s="2" t="n">
        <v>45830</v>
      </c>
      <c r="B905" s="3" t="n">
        <v>2025</v>
      </c>
      <c r="C905" s="3" t="n">
        <v>6</v>
      </c>
      <c r="D905" s="3" t="n">
        <v>25</v>
      </c>
      <c r="E905" s="3" t="inlineStr">
        <is>
          <t>S25-25</t>
        </is>
      </c>
    </row>
    <row r="906">
      <c r="A906" s="2" t="n">
        <v>45831</v>
      </c>
      <c r="B906" s="3" t="n">
        <v>2025</v>
      </c>
      <c r="C906" s="3" t="n">
        <v>6</v>
      </c>
      <c r="D906" s="3" t="n">
        <v>26</v>
      </c>
      <c r="E906" s="3" t="inlineStr">
        <is>
          <t>S25-26</t>
        </is>
      </c>
    </row>
    <row r="907">
      <c r="A907" s="2" t="n">
        <v>45832</v>
      </c>
      <c r="B907" s="3" t="n">
        <v>2025</v>
      </c>
      <c r="C907" s="3" t="n">
        <v>6</v>
      </c>
      <c r="D907" s="3" t="n">
        <v>26</v>
      </c>
      <c r="E907" s="3" t="inlineStr">
        <is>
          <t>S25-26</t>
        </is>
      </c>
    </row>
    <row r="908">
      <c r="A908" s="2" t="n">
        <v>45833</v>
      </c>
      <c r="B908" s="3" t="n">
        <v>2025</v>
      </c>
      <c r="C908" s="3" t="n">
        <v>6</v>
      </c>
      <c r="D908" s="3" t="n">
        <v>26</v>
      </c>
      <c r="E908" s="3" t="inlineStr">
        <is>
          <t>S25-26</t>
        </is>
      </c>
    </row>
    <row r="909">
      <c r="A909" s="2" t="n">
        <v>45834</v>
      </c>
      <c r="B909" s="3" t="n">
        <v>2025</v>
      </c>
      <c r="C909" s="3" t="n">
        <v>6</v>
      </c>
      <c r="D909" s="3" t="n">
        <v>26</v>
      </c>
      <c r="E909" s="3" t="inlineStr">
        <is>
          <t>S25-26</t>
        </is>
      </c>
    </row>
    <row r="910">
      <c r="A910" s="2" t="n">
        <v>45835</v>
      </c>
      <c r="B910" s="3" t="n">
        <v>2025</v>
      </c>
      <c r="C910" s="3" t="n">
        <v>6</v>
      </c>
      <c r="D910" s="3" t="n">
        <v>26</v>
      </c>
      <c r="E910" s="3" t="inlineStr">
        <is>
          <t>S25-26</t>
        </is>
      </c>
    </row>
    <row r="911">
      <c r="A911" s="2" t="n">
        <v>45836</v>
      </c>
      <c r="B911" s="3" t="n">
        <v>2025</v>
      </c>
      <c r="C911" s="3" t="n">
        <v>6</v>
      </c>
      <c r="D911" s="3" t="n">
        <v>26</v>
      </c>
      <c r="E911" s="3" t="inlineStr">
        <is>
          <t>S25-26</t>
        </is>
      </c>
    </row>
    <row r="912">
      <c r="A912" s="2" t="n">
        <v>45837</v>
      </c>
      <c r="B912" s="3" t="n">
        <v>2025</v>
      </c>
      <c r="C912" s="3" t="n">
        <v>6</v>
      </c>
      <c r="D912" s="3" t="n">
        <v>26</v>
      </c>
      <c r="E912" s="3" t="inlineStr">
        <is>
          <t>S25-26</t>
        </is>
      </c>
    </row>
    <row r="913">
      <c r="A913" s="2" t="n">
        <v>45838</v>
      </c>
      <c r="B913" s="3" t="n">
        <v>2025</v>
      </c>
      <c r="C913" s="3" t="n">
        <v>6</v>
      </c>
      <c r="D913" s="3" t="n">
        <v>27</v>
      </c>
      <c r="E913" s="3" t="inlineStr">
        <is>
          <t>S25-27</t>
        </is>
      </c>
    </row>
    <row r="914">
      <c r="A914" s="2" t="n">
        <v>45839</v>
      </c>
      <c r="B914" s="3" t="n">
        <v>2025</v>
      </c>
      <c r="C914" s="3" t="n">
        <v>7</v>
      </c>
      <c r="D914" s="3" t="n">
        <v>27</v>
      </c>
      <c r="E914" s="3" t="inlineStr">
        <is>
          <t>S25-27</t>
        </is>
      </c>
    </row>
    <row r="915">
      <c r="A915" s="2" t="n">
        <v>45840</v>
      </c>
      <c r="B915" s="3" t="n">
        <v>2025</v>
      </c>
      <c r="C915" s="3" t="n">
        <v>7</v>
      </c>
      <c r="D915" s="3" t="n">
        <v>27</v>
      </c>
      <c r="E915" s="3" t="inlineStr">
        <is>
          <t>S25-27</t>
        </is>
      </c>
    </row>
    <row r="916">
      <c r="A916" s="2" t="n">
        <v>45841</v>
      </c>
      <c r="B916" s="3" t="n">
        <v>2025</v>
      </c>
      <c r="C916" s="3" t="n">
        <v>7</v>
      </c>
      <c r="D916" s="3" t="n">
        <v>27</v>
      </c>
      <c r="E916" s="3" t="inlineStr">
        <is>
          <t>S25-27</t>
        </is>
      </c>
    </row>
    <row r="917">
      <c r="A917" s="2" t="n">
        <v>45842</v>
      </c>
      <c r="B917" s="3" t="n">
        <v>2025</v>
      </c>
      <c r="C917" s="3" t="n">
        <v>7</v>
      </c>
      <c r="D917" s="3" t="n">
        <v>27</v>
      </c>
      <c r="E917" s="3" t="inlineStr">
        <is>
          <t>S25-27</t>
        </is>
      </c>
    </row>
    <row r="918">
      <c r="A918" s="2" t="n">
        <v>45843</v>
      </c>
      <c r="B918" s="3" t="n">
        <v>2025</v>
      </c>
      <c r="C918" s="3" t="n">
        <v>7</v>
      </c>
      <c r="D918" s="3" t="n">
        <v>27</v>
      </c>
      <c r="E918" s="3" t="inlineStr">
        <is>
          <t>S25-27</t>
        </is>
      </c>
    </row>
    <row r="919">
      <c r="A919" s="2" t="n">
        <v>45844</v>
      </c>
      <c r="B919" s="3" t="n">
        <v>2025</v>
      </c>
      <c r="C919" s="3" t="n">
        <v>7</v>
      </c>
      <c r="D919" s="3" t="n">
        <v>27</v>
      </c>
      <c r="E919" s="3" t="inlineStr">
        <is>
          <t>S25-27</t>
        </is>
      </c>
    </row>
    <row r="920">
      <c r="A920" s="2" t="n">
        <v>45845</v>
      </c>
      <c r="B920" s="3" t="n">
        <v>2025</v>
      </c>
      <c r="C920" s="3" t="n">
        <v>7</v>
      </c>
      <c r="D920" s="3" t="n">
        <v>28</v>
      </c>
      <c r="E920" s="3" t="inlineStr">
        <is>
          <t>S25-28</t>
        </is>
      </c>
    </row>
    <row r="921">
      <c r="A921" s="2" t="n">
        <v>45846</v>
      </c>
      <c r="B921" s="3" t="n">
        <v>2025</v>
      </c>
      <c r="C921" s="3" t="n">
        <v>7</v>
      </c>
      <c r="D921" s="3" t="n">
        <v>28</v>
      </c>
      <c r="E921" s="3" t="inlineStr">
        <is>
          <t>S25-28</t>
        </is>
      </c>
    </row>
    <row r="922">
      <c r="A922" s="2" t="n">
        <v>45847</v>
      </c>
      <c r="B922" s="3" t="n">
        <v>2025</v>
      </c>
      <c r="C922" s="3" t="n">
        <v>7</v>
      </c>
      <c r="D922" s="3" t="n">
        <v>28</v>
      </c>
      <c r="E922" s="3" t="inlineStr">
        <is>
          <t>S25-28</t>
        </is>
      </c>
    </row>
    <row r="923">
      <c r="A923" s="2" t="n">
        <v>45848</v>
      </c>
      <c r="B923" s="3" t="n">
        <v>2025</v>
      </c>
      <c r="C923" s="3" t="n">
        <v>7</v>
      </c>
      <c r="D923" s="3" t="n">
        <v>28</v>
      </c>
      <c r="E923" s="3" t="inlineStr">
        <is>
          <t>S25-28</t>
        </is>
      </c>
    </row>
    <row r="924">
      <c r="A924" s="2" t="n">
        <v>45849</v>
      </c>
      <c r="B924" s="3" t="n">
        <v>2025</v>
      </c>
      <c r="C924" s="3" t="n">
        <v>7</v>
      </c>
      <c r="D924" s="3" t="n">
        <v>28</v>
      </c>
      <c r="E924" s="3" t="inlineStr">
        <is>
          <t>S25-28</t>
        </is>
      </c>
    </row>
    <row r="925">
      <c r="A925" s="2" t="n">
        <v>45850</v>
      </c>
      <c r="B925" s="3" t="n">
        <v>2025</v>
      </c>
      <c r="C925" s="3" t="n">
        <v>7</v>
      </c>
      <c r="D925" s="3" t="n">
        <v>28</v>
      </c>
      <c r="E925" s="3" t="inlineStr">
        <is>
          <t>S25-28</t>
        </is>
      </c>
    </row>
    <row r="926">
      <c r="A926" s="2" t="n">
        <v>45851</v>
      </c>
      <c r="B926" s="3" t="n">
        <v>2025</v>
      </c>
      <c r="C926" s="3" t="n">
        <v>7</v>
      </c>
      <c r="D926" s="3" t="n">
        <v>28</v>
      </c>
      <c r="E926" s="3" t="inlineStr">
        <is>
          <t>S25-28</t>
        </is>
      </c>
    </row>
    <row r="927">
      <c r="A927" s="2" t="n">
        <v>45852</v>
      </c>
      <c r="B927" s="3" t="n">
        <v>2025</v>
      </c>
      <c r="C927" s="3" t="n">
        <v>7</v>
      </c>
      <c r="D927" s="3" t="n">
        <v>29</v>
      </c>
      <c r="E927" s="3" t="inlineStr">
        <is>
          <t>S25-29</t>
        </is>
      </c>
    </row>
    <row r="928">
      <c r="A928" s="2" t="n">
        <v>45853</v>
      </c>
      <c r="B928" s="3" t="n">
        <v>2025</v>
      </c>
      <c r="C928" s="3" t="n">
        <v>7</v>
      </c>
      <c r="D928" s="3" t="n">
        <v>29</v>
      </c>
      <c r="E928" s="3" t="inlineStr">
        <is>
          <t>S25-29</t>
        </is>
      </c>
    </row>
    <row r="929">
      <c r="A929" s="2" t="n">
        <v>45854</v>
      </c>
      <c r="B929" s="3" t="n">
        <v>2025</v>
      </c>
      <c r="C929" s="3" t="n">
        <v>7</v>
      </c>
      <c r="D929" s="3" t="n">
        <v>29</v>
      </c>
      <c r="E929" s="3" t="inlineStr">
        <is>
          <t>S25-29</t>
        </is>
      </c>
    </row>
    <row r="930">
      <c r="A930" s="2" t="n">
        <v>45855</v>
      </c>
      <c r="B930" s="3" t="n">
        <v>2025</v>
      </c>
      <c r="C930" s="3" t="n">
        <v>7</v>
      </c>
      <c r="D930" s="3" t="n">
        <v>29</v>
      </c>
      <c r="E930" s="3" t="inlineStr">
        <is>
          <t>S25-29</t>
        </is>
      </c>
    </row>
    <row r="931">
      <c r="A931" s="2" t="n">
        <v>45856</v>
      </c>
      <c r="B931" s="3" t="n">
        <v>2025</v>
      </c>
      <c r="C931" s="3" t="n">
        <v>7</v>
      </c>
      <c r="D931" s="3" t="n">
        <v>29</v>
      </c>
      <c r="E931" s="3" t="inlineStr">
        <is>
          <t>S25-29</t>
        </is>
      </c>
    </row>
    <row r="932">
      <c r="A932" s="2" t="n">
        <v>45857</v>
      </c>
      <c r="B932" s="3" t="n">
        <v>2025</v>
      </c>
      <c r="C932" s="3" t="n">
        <v>7</v>
      </c>
      <c r="D932" s="3" t="n">
        <v>29</v>
      </c>
      <c r="E932" s="3" t="inlineStr">
        <is>
          <t>S25-29</t>
        </is>
      </c>
    </row>
    <row r="933">
      <c r="A933" s="2" t="n">
        <v>45858</v>
      </c>
      <c r="B933" s="3" t="n">
        <v>2025</v>
      </c>
      <c r="C933" s="3" t="n">
        <v>7</v>
      </c>
      <c r="D933" s="3" t="n">
        <v>29</v>
      </c>
      <c r="E933" s="3" t="inlineStr">
        <is>
          <t>S25-29</t>
        </is>
      </c>
    </row>
    <row r="934">
      <c r="A934" s="2" t="n">
        <v>45859</v>
      </c>
      <c r="B934" s="3" t="n">
        <v>2025</v>
      </c>
      <c r="C934" s="3" t="n">
        <v>7</v>
      </c>
      <c r="D934" s="3" t="n">
        <v>30</v>
      </c>
      <c r="E934" s="3" t="inlineStr">
        <is>
          <t>S25-30</t>
        </is>
      </c>
    </row>
    <row r="935">
      <c r="A935" s="2" t="n">
        <v>45860</v>
      </c>
      <c r="B935" s="3" t="n">
        <v>2025</v>
      </c>
      <c r="C935" s="3" t="n">
        <v>7</v>
      </c>
      <c r="D935" s="3" t="n">
        <v>30</v>
      </c>
      <c r="E935" s="3" t="inlineStr">
        <is>
          <t>S25-30</t>
        </is>
      </c>
    </row>
    <row r="936">
      <c r="A936" s="2" t="n">
        <v>45861</v>
      </c>
      <c r="B936" s="3" t="n">
        <v>2025</v>
      </c>
      <c r="C936" s="3" t="n">
        <v>7</v>
      </c>
      <c r="D936" s="3" t="n">
        <v>30</v>
      </c>
      <c r="E936" s="3" t="inlineStr">
        <is>
          <t>S25-30</t>
        </is>
      </c>
    </row>
    <row r="937">
      <c r="A937" s="2" t="n">
        <v>45862</v>
      </c>
      <c r="B937" s="3" t="n">
        <v>2025</v>
      </c>
      <c r="C937" s="3" t="n">
        <v>7</v>
      </c>
      <c r="D937" s="3" t="n">
        <v>30</v>
      </c>
      <c r="E937" s="3" t="inlineStr">
        <is>
          <t>S25-30</t>
        </is>
      </c>
    </row>
    <row r="938">
      <c r="A938" s="2" t="n">
        <v>45863</v>
      </c>
      <c r="B938" s="3" t="n">
        <v>2025</v>
      </c>
      <c r="C938" s="3" t="n">
        <v>7</v>
      </c>
      <c r="D938" s="3" t="n">
        <v>30</v>
      </c>
      <c r="E938" s="3" t="inlineStr">
        <is>
          <t>S25-30</t>
        </is>
      </c>
    </row>
    <row r="939">
      <c r="A939" s="2" t="n">
        <v>45864</v>
      </c>
      <c r="B939" s="3" t="n">
        <v>2025</v>
      </c>
      <c r="C939" s="3" t="n">
        <v>7</v>
      </c>
      <c r="D939" s="3" t="n">
        <v>30</v>
      </c>
      <c r="E939" s="3" t="inlineStr">
        <is>
          <t>S25-30</t>
        </is>
      </c>
    </row>
    <row r="940">
      <c r="A940" s="2" t="n">
        <v>45865</v>
      </c>
      <c r="B940" s="3" t="n">
        <v>2025</v>
      </c>
      <c r="C940" s="3" t="n">
        <v>7</v>
      </c>
      <c r="D940" s="3" t="n">
        <v>30</v>
      </c>
      <c r="E940" s="3" t="inlineStr">
        <is>
          <t>S25-30</t>
        </is>
      </c>
    </row>
    <row r="941">
      <c r="A941" s="2" t="n">
        <v>45866</v>
      </c>
      <c r="B941" s="3" t="n">
        <v>2025</v>
      </c>
      <c r="C941" s="3" t="n">
        <v>7</v>
      </c>
      <c r="D941" s="3" t="n">
        <v>31</v>
      </c>
      <c r="E941" s="3" t="inlineStr">
        <is>
          <t>S25-31</t>
        </is>
      </c>
    </row>
    <row r="942">
      <c r="A942" s="2" t="n">
        <v>45867</v>
      </c>
      <c r="B942" s="3" t="n">
        <v>2025</v>
      </c>
      <c r="C942" s="3" t="n">
        <v>7</v>
      </c>
      <c r="D942" s="3" t="n">
        <v>31</v>
      </c>
      <c r="E942" s="3" t="inlineStr">
        <is>
          <t>S25-31</t>
        </is>
      </c>
    </row>
    <row r="943">
      <c r="A943" s="2" t="n">
        <v>45868</v>
      </c>
      <c r="B943" s="3" t="n">
        <v>2025</v>
      </c>
      <c r="C943" s="3" t="n">
        <v>7</v>
      </c>
      <c r="D943" s="3" t="n">
        <v>31</v>
      </c>
      <c r="E943" s="3" t="inlineStr">
        <is>
          <t>S25-31</t>
        </is>
      </c>
    </row>
    <row r="944">
      <c r="A944" s="2" t="n">
        <v>45869</v>
      </c>
      <c r="B944" s="3" t="n">
        <v>2025</v>
      </c>
      <c r="C944" s="3" t="n">
        <v>7</v>
      </c>
      <c r="D944" s="3" t="n">
        <v>31</v>
      </c>
      <c r="E944" s="3" t="inlineStr">
        <is>
          <t>S25-31</t>
        </is>
      </c>
    </row>
    <row r="945">
      <c r="A945" s="2" t="n">
        <v>45870</v>
      </c>
      <c r="B945" s="3" t="n">
        <v>2025</v>
      </c>
      <c r="C945" s="3" t="n">
        <v>8</v>
      </c>
      <c r="D945" s="3" t="n">
        <v>31</v>
      </c>
      <c r="E945" s="3" t="inlineStr">
        <is>
          <t>S25-31</t>
        </is>
      </c>
    </row>
    <row r="946">
      <c r="A946" s="2" t="n">
        <v>45871</v>
      </c>
      <c r="B946" s="3" t="n">
        <v>2025</v>
      </c>
      <c r="C946" s="3" t="n">
        <v>8</v>
      </c>
      <c r="D946" s="3" t="n">
        <v>31</v>
      </c>
      <c r="E946" s="3" t="inlineStr">
        <is>
          <t>S25-31</t>
        </is>
      </c>
    </row>
    <row r="947">
      <c r="A947" s="2" t="n">
        <v>45872</v>
      </c>
      <c r="B947" s="3" t="n">
        <v>2025</v>
      </c>
      <c r="C947" s="3" t="n">
        <v>8</v>
      </c>
      <c r="D947" s="3" t="n">
        <v>31</v>
      </c>
      <c r="E947" s="3" t="inlineStr">
        <is>
          <t>S25-31</t>
        </is>
      </c>
    </row>
    <row r="948">
      <c r="A948" s="2" t="n">
        <v>45873</v>
      </c>
      <c r="B948" s="3" t="n">
        <v>2025</v>
      </c>
      <c r="C948" s="3" t="n">
        <v>8</v>
      </c>
      <c r="D948" s="3" t="n">
        <v>32</v>
      </c>
      <c r="E948" s="3" t="inlineStr">
        <is>
          <t>S25-32</t>
        </is>
      </c>
    </row>
    <row r="949">
      <c r="A949" s="2" t="n">
        <v>45874</v>
      </c>
      <c r="B949" s="3" t="n">
        <v>2025</v>
      </c>
      <c r="C949" s="3" t="n">
        <v>8</v>
      </c>
      <c r="D949" s="3" t="n">
        <v>32</v>
      </c>
      <c r="E949" s="3" t="inlineStr">
        <is>
          <t>S25-32</t>
        </is>
      </c>
    </row>
    <row r="950">
      <c r="A950" s="2" t="n">
        <v>45875</v>
      </c>
      <c r="B950" s="3" t="n">
        <v>2025</v>
      </c>
      <c r="C950" s="3" t="n">
        <v>8</v>
      </c>
      <c r="D950" s="3" t="n">
        <v>32</v>
      </c>
      <c r="E950" s="3" t="inlineStr">
        <is>
          <t>S25-32</t>
        </is>
      </c>
    </row>
    <row r="951">
      <c r="A951" s="2" t="n">
        <v>45876</v>
      </c>
      <c r="B951" s="3" t="n">
        <v>2025</v>
      </c>
      <c r="C951" s="3" t="n">
        <v>8</v>
      </c>
      <c r="D951" s="3" t="n">
        <v>32</v>
      </c>
      <c r="E951" s="3" t="inlineStr">
        <is>
          <t>S25-32</t>
        </is>
      </c>
    </row>
    <row r="952">
      <c r="A952" s="2" t="n">
        <v>45877</v>
      </c>
      <c r="B952" s="3" t="n">
        <v>2025</v>
      </c>
      <c r="C952" s="3" t="n">
        <v>8</v>
      </c>
      <c r="D952" s="3" t="n">
        <v>32</v>
      </c>
      <c r="E952" s="3" t="inlineStr">
        <is>
          <t>S25-32</t>
        </is>
      </c>
    </row>
    <row r="953">
      <c r="A953" s="2" t="n">
        <v>45878</v>
      </c>
      <c r="B953" s="3" t="n">
        <v>2025</v>
      </c>
      <c r="C953" s="3" t="n">
        <v>8</v>
      </c>
      <c r="D953" s="3" t="n">
        <v>32</v>
      </c>
      <c r="E953" s="3" t="inlineStr">
        <is>
          <t>S25-32</t>
        </is>
      </c>
    </row>
    <row r="954">
      <c r="A954" s="2" t="n">
        <v>45879</v>
      </c>
      <c r="B954" s="3" t="n">
        <v>2025</v>
      </c>
      <c r="C954" s="3" t="n">
        <v>8</v>
      </c>
      <c r="D954" s="3" t="n">
        <v>32</v>
      </c>
      <c r="E954" s="3" t="inlineStr">
        <is>
          <t>S25-32</t>
        </is>
      </c>
    </row>
    <row r="955">
      <c r="A955" s="2" t="n">
        <v>45880</v>
      </c>
      <c r="B955" s="3" t="n">
        <v>2025</v>
      </c>
      <c r="C955" s="3" t="n">
        <v>8</v>
      </c>
      <c r="D955" s="3" t="n">
        <v>33</v>
      </c>
      <c r="E955" s="3" t="inlineStr">
        <is>
          <t>S25-33</t>
        </is>
      </c>
    </row>
    <row r="956">
      <c r="A956" s="2" t="n">
        <v>45881</v>
      </c>
      <c r="B956" s="3" t="n">
        <v>2025</v>
      </c>
      <c r="C956" s="3" t="n">
        <v>8</v>
      </c>
      <c r="D956" s="3" t="n">
        <v>33</v>
      </c>
      <c r="E956" s="3" t="inlineStr">
        <is>
          <t>S25-33</t>
        </is>
      </c>
    </row>
    <row r="957">
      <c r="A957" s="2" t="n">
        <v>45882</v>
      </c>
      <c r="B957" s="3" t="n">
        <v>2025</v>
      </c>
      <c r="C957" s="3" t="n">
        <v>8</v>
      </c>
      <c r="D957" s="3" t="n">
        <v>33</v>
      </c>
      <c r="E957" s="3" t="inlineStr">
        <is>
          <t>S25-33</t>
        </is>
      </c>
    </row>
    <row r="958">
      <c r="A958" s="2" t="n">
        <v>45883</v>
      </c>
      <c r="B958" s="3" t="n">
        <v>2025</v>
      </c>
      <c r="C958" s="3" t="n">
        <v>8</v>
      </c>
      <c r="D958" s="3" t="n">
        <v>33</v>
      </c>
      <c r="E958" s="3" t="inlineStr">
        <is>
          <t>S25-33</t>
        </is>
      </c>
    </row>
    <row r="959">
      <c r="A959" s="2" t="n">
        <v>45884</v>
      </c>
      <c r="B959" s="3" t="n">
        <v>2025</v>
      </c>
      <c r="C959" s="3" t="n">
        <v>8</v>
      </c>
      <c r="D959" s="3" t="n">
        <v>33</v>
      </c>
      <c r="E959" s="3" t="inlineStr">
        <is>
          <t>S25-33</t>
        </is>
      </c>
    </row>
    <row r="960">
      <c r="A960" s="2" t="n">
        <v>45885</v>
      </c>
      <c r="B960" s="3" t="n">
        <v>2025</v>
      </c>
      <c r="C960" s="3" t="n">
        <v>8</v>
      </c>
      <c r="D960" s="3" t="n">
        <v>33</v>
      </c>
      <c r="E960" s="3" t="inlineStr">
        <is>
          <t>S25-33</t>
        </is>
      </c>
    </row>
    <row r="961">
      <c r="A961" s="2" t="n">
        <v>45886</v>
      </c>
      <c r="B961" s="3" t="n">
        <v>2025</v>
      </c>
      <c r="C961" s="3" t="n">
        <v>8</v>
      </c>
      <c r="D961" s="3" t="n">
        <v>33</v>
      </c>
      <c r="E961" s="3" t="inlineStr">
        <is>
          <t>S25-33</t>
        </is>
      </c>
    </row>
    <row r="962">
      <c r="A962" s="2" t="n">
        <v>45887</v>
      </c>
      <c r="B962" s="3" t="n">
        <v>2025</v>
      </c>
      <c r="C962" s="3" t="n">
        <v>8</v>
      </c>
      <c r="D962" s="3" t="n">
        <v>34</v>
      </c>
      <c r="E962" s="3" t="inlineStr">
        <is>
          <t>S25-34</t>
        </is>
      </c>
    </row>
    <row r="963">
      <c r="A963" s="2" t="n">
        <v>45888</v>
      </c>
      <c r="B963" s="3" t="n">
        <v>2025</v>
      </c>
      <c r="C963" s="3" t="n">
        <v>8</v>
      </c>
      <c r="D963" s="3" t="n">
        <v>34</v>
      </c>
      <c r="E963" s="3" t="inlineStr">
        <is>
          <t>S25-34</t>
        </is>
      </c>
    </row>
    <row r="964">
      <c r="A964" s="2" t="n">
        <v>45889</v>
      </c>
      <c r="B964" s="3" t="n">
        <v>2025</v>
      </c>
      <c r="C964" s="3" t="n">
        <v>8</v>
      </c>
      <c r="D964" s="3" t="n">
        <v>34</v>
      </c>
      <c r="E964" s="3" t="inlineStr">
        <is>
          <t>S25-34</t>
        </is>
      </c>
    </row>
    <row r="965">
      <c r="A965" s="2" t="n">
        <v>45890</v>
      </c>
      <c r="B965" s="3" t="n">
        <v>2025</v>
      </c>
      <c r="C965" s="3" t="n">
        <v>8</v>
      </c>
      <c r="D965" s="3" t="n">
        <v>34</v>
      </c>
      <c r="E965" s="3" t="inlineStr">
        <is>
          <t>S25-34</t>
        </is>
      </c>
    </row>
    <row r="966">
      <c r="A966" s="2" t="n">
        <v>45891</v>
      </c>
      <c r="B966" s="3" t="n">
        <v>2025</v>
      </c>
      <c r="C966" s="3" t="n">
        <v>8</v>
      </c>
      <c r="D966" s="3" t="n">
        <v>34</v>
      </c>
      <c r="E966" s="3" t="inlineStr">
        <is>
          <t>S25-34</t>
        </is>
      </c>
    </row>
    <row r="967">
      <c r="A967" s="2" t="n">
        <v>45892</v>
      </c>
      <c r="B967" s="3" t="n">
        <v>2025</v>
      </c>
      <c r="C967" s="3" t="n">
        <v>8</v>
      </c>
      <c r="D967" s="3" t="n">
        <v>34</v>
      </c>
      <c r="E967" s="3" t="inlineStr">
        <is>
          <t>S25-34</t>
        </is>
      </c>
    </row>
    <row r="968">
      <c r="A968" s="2" t="n">
        <v>45893</v>
      </c>
      <c r="B968" s="3" t="n">
        <v>2025</v>
      </c>
      <c r="C968" s="3" t="n">
        <v>8</v>
      </c>
      <c r="D968" s="3" t="n">
        <v>34</v>
      </c>
      <c r="E968" s="3" t="inlineStr">
        <is>
          <t>S25-34</t>
        </is>
      </c>
    </row>
    <row r="969">
      <c r="A969" s="2" t="n">
        <v>45894</v>
      </c>
      <c r="B969" s="3" t="n">
        <v>2025</v>
      </c>
      <c r="C969" s="3" t="n">
        <v>8</v>
      </c>
      <c r="D969" s="3" t="n">
        <v>35</v>
      </c>
      <c r="E969" s="3" t="inlineStr">
        <is>
          <t>S25-35</t>
        </is>
      </c>
    </row>
    <row r="970">
      <c r="A970" s="2" t="n">
        <v>45895</v>
      </c>
      <c r="B970" s="3" t="n">
        <v>2025</v>
      </c>
      <c r="C970" s="3" t="n">
        <v>8</v>
      </c>
      <c r="D970" s="3" t="n">
        <v>35</v>
      </c>
      <c r="E970" s="3" t="inlineStr">
        <is>
          <t>S25-35</t>
        </is>
      </c>
    </row>
    <row r="971">
      <c r="A971" s="2" t="n">
        <v>45896</v>
      </c>
      <c r="B971" s="3" t="n">
        <v>2025</v>
      </c>
      <c r="C971" s="3" t="n">
        <v>8</v>
      </c>
      <c r="D971" s="3" t="n">
        <v>35</v>
      </c>
      <c r="E971" s="3" t="inlineStr">
        <is>
          <t>S25-35</t>
        </is>
      </c>
    </row>
    <row r="972">
      <c r="A972" s="2" t="n">
        <v>45897</v>
      </c>
      <c r="B972" s="3" t="n">
        <v>2025</v>
      </c>
      <c r="C972" s="3" t="n">
        <v>8</v>
      </c>
      <c r="D972" s="3" t="n">
        <v>35</v>
      </c>
      <c r="E972" s="3" t="inlineStr">
        <is>
          <t>S25-35</t>
        </is>
      </c>
    </row>
    <row r="973">
      <c r="A973" s="2" t="n">
        <v>45898</v>
      </c>
      <c r="B973" s="3" t="n">
        <v>2025</v>
      </c>
      <c r="C973" s="3" t="n">
        <v>8</v>
      </c>
      <c r="D973" s="3" t="n">
        <v>35</v>
      </c>
      <c r="E973" s="3" t="inlineStr">
        <is>
          <t>S25-35</t>
        </is>
      </c>
    </row>
    <row r="974">
      <c r="A974" s="2" t="n">
        <v>45899</v>
      </c>
      <c r="B974" s="3" t="n">
        <v>2025</v>
      </c>
      <c r="C974" s="3" t="n">
        <v>8</v>
      </c>
      <c r="D974" s="3" t="n">
        <v>35</v>
      </c>
      <c r="E974" s="3" t="inlineStr">
        <is>
          <t>S25-35</t>
        </is>
      </c>
    </row>
    <row r="975">
      <c r="A975" s="2" t="n">
        <v>45900</v>
      </c>
      <c r="B975" s="3" t="n">
        <v>2025</v>
      </c>
      <c r="C975" s="3" t="n">
        <v>8</v>
      </c>
      <c r="D975" s="3" t="n">
        <v>35</v>
      </c>
      <c r="E975" s="3" t="inlineStr">
        <is>
          <t>S25-35</t>
        </is>
      </c>
    </row>
    <row r="976">
      <c r="A976" s="2" t="n">
        <v>45901</v>
      </c>
      <c r="B976" s="3" t="n">
        <v>2025</v>
      </c>
      <c r="C976" s="3" t="n">
        <v>9</v>
      </c>
      <c r="D976" s="3" t="n">
        <v>36</v>
      </c>
      <c r="E976" s="3" t="inlineStr">
        <is>
          <t>S25-36</t>
        </is>
      </c>
    </row>
    <row r="977">
      <c r="A977" s="2" t="n">
        <v>45902</v>
      </c>
      <c r="B977" s="3" t="n">
        <v>2025</v>
      </c>
      <c r="C977" s="3" t="n">
        <v>9</v>
      </c>
      <c r="D977" s="3" t="n">
        <v>36</v>
      </c>
      <c r="E977" s="3" t="inlineStr">
        <is>
          <t>S25-36</t>
        </is>
      </c>
    </row>
    <row r="978">
      <c r="A978" s="2" t="n">
        <v>45903</v>
      </c>
      <c r="B978" s="3" t="n">
        <v>2025</v>
      </c>
      <c r="C978" s="3" t="n">
        <v>9</v>
      </c>
      <c r="D978" s="3" t="n">
        <v>36</v>
      </c>
      <c r="E978" s="3" t="inlineStr">
        <is>
          <t>S25-36</t>
        </is>
      </c>
    </row>
    <row r="979">
      <c r="A979" s="2" t="n">
        <v>45904</v>
      </c>
      <c r="B979" s="3" t="n">
        <v>2025</v>
      </c>
      <c r="C979" s="3" t="n">
        <v>9</v>
      </c>
      <c r="D979" s="3" t="n">
        <v>36</v>
      </c>
      <c r="E979" s="3" t="inlineStr">
        <is>
          <t>S25-36</t>
        </is>
      </c>
    </row>
    <row r="980">
      <c r="A980" s="2" t="n">
        <v>45905</v>
      </c>
      <c r="B980" s="3" t="n">
        <v>2025</v>
      </c>
      <c r="C980" s="3" t="n">
        <v>9</v>
      </c>
      <c r="D980" s="3" t="n">
        <v>36</v>
      </c>
      <c r="E980" s="3" t="inlineStr">
        <is>
          <t>S25-36</t>
        </is>
      </c>
    </row>
    <row r="981">
      <c r="A981" s="2" t="n">
        <v>45906</v>
      </c>
      <c r="B981" s="3" t="n">
        <v>2025</v>
      </c>
      <c r="C981" s="3" t="n">
        <v>9</v>
      </c>
      <c r="D981" s="3" t="n">
        <v>36</v>
      </c>
      <c r="E981" s="3" t="inlineStr">
        <is>
          <t>S25-36</t>
        </is>
      </c>
    </row>
    <row r="982">
      <c r="A982" s="2" t="n">
        <v>45907</v>
      </c>
      <c r="B982" s="3" t="n">
        <v>2025</v>
      </c>
      <c r="C982" s="3" t="n">
        <v>9</v>
      </c>
      <c r="D982" s="3" t="n">
        <v>36</v>
      </c>
      <c r="E982" s="3" t="inlineStr">
        <is>
          <t>S25-36</t>
        </is>
      </c>
    </row>
    <row r="983">
      <c r="A983" s="2" t="n">
        <v>45908</v>
      </c>
      <c r="B983" s="3" t="n">
        <v>2025</v>
      </c>
      <c r="C983" s="3" t="n">
        <v>9</v>
      </c>
      <c r="D983" s="3" t="n">
        <v>37</v>
      </c>
      <c r="E983" s="3" t="inlineStr">
        <is>
          <t>S25-37</t>
        </is>
      </c>
    </row>
    <row r="984">
      <c r="A984" s="2" t="n">
        <v>45909</v>
      </c>
      <c r="B984" s="3" t="n">
        <v>2025</v>
      </c>
      <c r="C984" s="3" t="n">
        <v>9</v>
      </c>
      <c r="D984" s="3" t="n">
        <v>37</v>
      </c>
      <c r="E984" s="3" t="inlineStr">
        <is>
          <t>S25-37</t>
        </is>
      </c>
    </row>
    <row r="985">
      <c r="A985" s="2" t="n">
        <v>45910</v>
      </c>
      <c r="B985" s="3" t="n">
        <v>2025</v>
      </c>
      <c r="C985" s="3" t="n">
        <v>9</v>
      </c>
      <c r="D985" s="3" t="n">
        <v>37</v>
      </c>
      <c r="E985" s="3" t="inlineStr">
        <is>
          <t>S25-37</t>
        </is>
      </c>
    </row>
    <row r="986">
      <c r="A986" s="2" t="n">
        <v>45911</v>
      </c>
      <c r="B986" s="3" t="n">
        <v>2025</v>
      </c>
      <c r="C986" s="3" t="n">
        <v>9</v>
      </c>
      <c r="D986" s="3" t="n">
        <v>37</v>
      </c>
      <c r="E986" s="3" t="inlineStr">
        <is>
          <t>S25-37</t>
        </is>
      </c>
    </row>
    <row r="987">
      <c r="A987" s="2" t="n">
        <v>45912</v>
      </c>
      <c r="B987" s="3" t="n">
        <v>2025</v>
      </c>
      <c r="C987" s="3" t="n">
        <v>9</v>
      </c>
      <c r="D987" s="3" t="n">
        <v>37</v>
      </c>
      <c r="E987" s="3" t="inlineStr">
        <is>
          <t>S25-37</t>
        </is>
      </c>
    </row>
    <row r="988">
      <c r="A988" s="2" t="n">
        <v>45913</v>
      </c>
      <c r="B988" s="3" t="n">
        <v>2025</v>
      </c>
      <c r="C988" s="3" t="n">
        <v>9</v>
      </c>
      <c r="D988" s="3" t="n">
        <v>37</v>
      </c>
      <c r="E988" s="3" t="inlineStr">
        <is>
          <t>S25-37</t>
        </is>
      </c>
    </row>
    <row r="989">
      <c r="A989" s="2" t="n">
        <v>45914</v>
      </c>
      <c r="B989" s="3" t="n">
        <v>2025</v>
      </c>
      <c r="C989" s="3" t="n">
        <v>9</v>
      </c>
      <c r="D989" s="3" t="n">
        <v>37</v>
      </c>
      <c r="E989" s="3" t="inlineStr">
        <is>
          <t>S25-37</t>
        </is>
      </c>
    </row>
    <row r="990">
      <c r="A990" s="2" t="n">
        <v>45915</v>
      </c>
      <c r="B990" s="3" t="n">
        <v>2025</v>
      </c>
      <c r="C990" s="3" t="n">
        <v>9</v>
      </c>
      <c r="D990" s="3" t="n">
        <v>38</v>
      </c>
      <c r="E990" s="3" t="inlineStr">
        <is>
          <t>S25-38</t>
        </is>
      </c>
    </row>
    <row r="991">
      <c r="A991" s="2" t="n">
        <v>45916</v>
      </c>
      <c r="B991" s="3" t="n">
        <v>2025</v>
      </c>
      <c r="C991" s="3" t="n">
        <v>9</v>
      </c>
      <c r="D991" s="3" t="n">
        <v>38</v>
      </c>
      <c r="E991" s="3" t="inlineStr">
        <is>
          <t>S25-38</t>
        </is>
      </c>
    </row>
    <row r="992">
      <c r="A992" s="2" t="n">
        <v>45917</v>
      </c>
      <c r="B992" s="3" t="n">
        <v>2025</v>
      </c>
      <c r="C992" s="3" t="n">
        <v>9</v>
      </c>
      <c r="D992" s="3" t="n">
        <v>38</v>
      </c>
      <c r="E992" s="3" t="inlineStr">
        <is>
          <t>S25-38</t>
        </is>
      </c>
    </row>
    <row r="993">
      <c r="A993" s="2" t="n">
        <v>45918</v>
      </c>
      <c r="B993" s="3" t="n">
        <v>2025</v>
      </c>
      <c r="C993" s="3" t="n">
        <v>9</v>
      </c>
      <c r="D993" s="3" t="n">
        <v>38</v>
      </c>
      <c r="E993" s="3" t="inlineStr">
        <is>
          <t>S25-38</t>
        </is>
      </c>
    </row>
    <row r="994">
      <c r="A994" s="2" t="n">
        <v>45919</v>
      </c>
      <c r="B994" s="3" t="n">
        <v>2025</v>
      </c>
      <c r="C994" s="3" t="n">
        <v>9</v>
      </c>
      <c r="D994" s="3" t="n">
        <v>38</v>
      </c>
      <c r="E994" s="3" t="inlineStr">
        <is>
          <t>S25-38</t>
        </is>
      </c>
    </row>
    <row r="995">
      <c r="A995" s="2" t="n">
        <v>45920</v>
      </c>
      <c r="B995" s="3" t="n">
        <v>2025</v>
      </c>
      <c r="C995" s="3" t="n">
        <v>9</v>
      </c>
      <c r="D995" s="3" t="n">
        <v>38</v>
      </c>
      <c r="E995" s="3" t="inlineStr">
        <is>
          <t>S25-38</t>
        </is>
      </c>
    </row>
    <row r="996">
      <c r="A996" s="2" t="n">
        <v>45921</v>
      </c>
      <c r="B996" s="3" t="n">
        <v>2025</v>
      </c>
      <c r="C996" s="3" t="n">
        <v>9</v>
      </c>
      <c r="D996" s="3" t="n">
        <v>38</v>
      </c>
      <c r="E996" s="3" t="inlineStr">
        <is>
          <t>S25-38</t>
        </is>
      </c>
    </row>
    <row r="997">
      <c r="A997" s="2" t="n">
        <v>45922</v>
      </c>
      <c r="B997" s="3" t="n">
        <v>2025</v>
      </c>
      <c r="C997" s="3" t="n">
        <v>9</v>
      </c>
      <c r="D997" s="3" t="n">
        <v>39</v>
      </c>
      <c r="E997" s="3" t="inlineStr">
        <is>
          <t>S25-39</t>
        </is>
      </c>
    </row>
    <row r="998">
      <c r="A998" s="2" t="n">
        <v>45923</v>
      </c>
      <c r="B998" s="3" t="n">
        <v>2025</v>
      </c>
      <c r="C998" s="3" t="n">
        <v>9</v>
      </c>
      <c r="D998" s="3" t="n">
        <v>39</v>
      </c>
      <c r="E998" s="3" t="inlineStr">
        <is>
          <t>S25-39</t>
        </is>
      </c>
    </row>
    <row r="999">
      <c r="A999" s="2" t="n">
        <v>45924</v>
      </c>
      <c r="B999" s="3" t="n">
        <v>2025</v>
      </c>
      <c r="C999" s="3" t="n">
        <v>9</v>
      </c>
      <c r="D999" s="3" t="n">
        <v>39</v>
      </c>
      <c r="E999" s="3" t="inlineStr">
        <is>
          <t>S25-39</t>
        </is>
      </c>
    </row>
    <row r="1000">
      <c r="A1000" s="2" t="n">
        <v>45925</v>
      </c>
      <c r="B1000" s="3" t="n">
        <v>2025</v>
      </c>
      <c r="C1000" s="3" t="n">
        <v>9</v>
      </c>
      <c r="D1000" s="3" t="n">
        <v>39</v>
      </c>
      <c r="E1000" s="3" t="inlineStr">
        <is>
          <t>S25-39</t>
        </is>
      </c>
    </row>
    <row r="1001">
      <c r="A1001" s="2" t="n">
        <v>45926</v>
      </c>
      <c r="B1001" s="3" t="n">
        <v>2025</v>
      </c>
      <c r="C1001" s="3" t="n">
        <v>9</v>
      </c>
      <c r="D1001" s="3" t="n">
        <v>39</v>
      </c>
      <c r="E1001" s="3" t="inlineStr">
        <is>
          <t>S25-39</t>
        </is>
      </c>
    </row>
    <row r="1002">
      <c r="A1002" s="2" t="n">
        <v>45927</v>
      </c>
      <c r="B1002" s="3" t="n">
        <v>2025</v>
      </c>
      <c r="C1002" s="3" t="n">
        <v>9</v>
      </c>
      <c r="D1002" s="3" t="n">
        <v>39</v>
      </c>
      <c r="E1002" s="3" t="inlineStr">
        <is>
          <t>S25-39</t>
        </is>
      </c>
    </row>
    <row r="1003">
      <c r="A1003" s="2" t="n">
        <v>45928</v>
      </c>
      <c r="B1003" s="3" t="n">
        <v>2025</v>
      </c>
      <c r="C1003" s="3" t="n">
        <v>9</v>
      </c>
      <c r="D1003" s="3" t="n">
        <v>39</v>
      </c>
      <c r="E1003" s="3" t="inlineStr">
        <is>
          <t>S25-39</t>
        </is>
      </c>
    </row>
    <row r="1004">
      <c r="A1004" s="2" t="n">
        <v>45929</v>
      </c>
      <c r="B1004" s="3" t="n">
        <v>2025</v>
      </c>
      <c r="C1004" s="3" t="n">
        <v>9</v>
      </c>
      <c r="D1004" s="3" t="n">
        <v>40</v>
      </c>
      <c r="E1004" s="3" t="inlineStr">
        <is>
          <t>S25-40</t>
        </is>
      </c>
    </row>
    <row r="1005">
      <c r="A1005" s="2" t="n">
        <v>45930</v>
      </c>
      <c r="B1005" s="3" t="n">
        <v>2025</v>
      </c>
      <c r="C1005" s="3" t="n">
        <v>9</v>
      </c>
      <c r="D1005" s="3" t="n">
        <v>40</v>
      </c>
      <c r="E1005" s="3" t="inlineStr">
        <is>
          <t>S25-40</t>
        </is>
      </c>
    </row>
    <row r="1006">
      <c r="A1006" s="2" t="n">
        <v>45931</v>
      </c>
      <c r="B1006" s="3" t="n">
        <v>2025</v>
      </c>
      <c r="C1006" s="3" t="n">
        <v>10</v>
      </c>
      <c r="D1006" s="3" t="n">
        <v>40</v>
      </c>
      <c r="E1006" s="3" t="inlineStr">
        <is>
          <t>S25-40</t>
        </is>
      </c>
    </row>
    <row r="1007">
      <c r="A1007" s="2" t="n">
        <v>45932</v>
      </c>
      <c r="B1007" s="3" t="n">
        <v>2025</v>
      </c>
      <c r="C1007" s="3" t="n">
        <v>10</v>
      </c>
      <c r="D1007" s="3" t="n">
        <v>40</v>
      </c>
      <c r="E1007" s="3" t="inlineStr">
        <is>
          <t>S25-40</t>
        </is>
      </c>
    </row>
    <row r="1008">
      <c r="A1008" s="2" t="n">
        <v>45933</v>
      </c>
      <c r="B1008" s="3" t="n">
        <v>2025</v>
      </c>
      <c r="C1008" s="3" t="n">
        <v>10</v>
      </c>
      <c r="D1008" s="3" t="n">
        <v>40</v>
      </c>
      <c r="E1008" s="3" t="inlineStr">
        <is>
          <t>S25-40</t>
        </is>
      </c>
    </row>
    <row r="1009">
      <c r="A1009" s="2" t="n">
        <v>45934</v>
      </c>
      <c r="B1009" s="3" t="n">
        <v>2025</v>
      </c>
      <c r="C1009" s="3" t="n">
        <v>10</v>
      </c>
      <c r="D1009" s="3" t="n">
        <v>40</v>
      </c>
      <c r="E1009" s="3" t="inlineStr">
        <is>
          <t>S25-40</t>
        </is>
      </c>
    </row>
    <row r="1010">
      <c r="A1010" s="2" t="n">
        <v>45935</v>
      </c>
      <c r="B1010" s="3" t="n">
        <v>2025</v>
      </c>
      <c r="C1010" s="3" t="n">
        <v>10</v>
      </c>
      <c r="D1010" s="3" t="n">
        <v>40</v>
      </c>
      <c r="E1010" s="3" t="inlineStr">
        <is>
          <t>S25-40</t>
        </is>
      </c>
    </row>
    <row r="1011">
      <c r="A1011" s="2" t="n">
        <v>45936</v>
      </c>
      <c r="B1011" s="3" t="n">
        <v>2025</v>
      </c>
      <c r="C1011" s="3" t="n">
        <v>10</v>
      </c>
      <c r="D1011" s="3" t="n">
        <v>41</v>
      </c>
      <c r="E1011" s="3" t="inlineStr">
        <is>
          <t>S25-41</t>
        </is>
      </c>
    </row>
    <row r="1012">
      <c r="A1012" s="2" t="n">
        <v>45937</v>
      </c>
      <c r="B1012" s="3" t="n">
        <v>2025</v>
      </c>
      <c r="C1012" s="3" t="n">
        <v>10</v>
      </c>
      <c r="D1012" s="3" t="n">
        <v>41</v>
      </c>
      <c r="E1012" s="3" t="inlineStr">
        <is>
          <t>S25-41</t>
        </is>
      </c>
    </row>
    <row r="1013">
      <c r="A1013" s="2" t="n">
        <v>45938</v>
      </c>
      <c r="B1013" s="3" t="n">
        <v>2025</v>
      </c>
      <c r="C1013" s="3" t="n">
        <v>10</v>
      </c>
      <c r="D1013" s="3" t="n">
        <v>41</v>
      </c>
      <c r="E1013" s="3" t="inlineStr">
        <is>
          <t>S25-41</t>
        </is>
      </c>
    </row>
    <row r="1014">
      <c r="A1014" s="2" t="n">
        <v>45939</v>
      </c>
      <c r="B1014" s="3" t="n">
        <v>2025</v>
      </c>
      <c r="C1014" s="3" t="n">
        <v>10</v>
      </c>
      <c r="D1014" s="3" t="n">
        <v>41</v>
      </c>
      <c r="E1014" s="3" t="inlineStr">
        <is>
          <t>S25-41</t>
        </is>
      </c>
    </row>
    <row r="1015">
      <c r="A1015" s="2" t="n">
        <v>45940</v>
      </c>
      <c r="B1015" s="3" t="n">
        <v>2025</v>
      </c>
      <c r="C1015" s="3" t="n">
        <v>10</v>
      </c>
      <c r="D1015" s="3" t="n">
        <v>41</v>
      </c>
      <c r="E1015" s="3" t="inlineStr">
        <is>
          <t>S25-41</t>
        </is>
      </c>
    </row>
    <row r="1016">
      <c r="A1016" s="2" t="n">
        <v>45941</v>
      </c>
      <c r="B1016" s="3" t="n">
        <v>2025</v>
      </c>
      <c r="C1016" s="3" t="n">
        <v>10</v>
      </c>
      <c r="D1016" s="3" t="n">
        <v>41</v>
      </c>
      <c r="E1016" s="3" t="inlineStr">
        <is>
          <t>S25-41</t>
        </is>
      </c>
    </row>
    <row r="1017">
      <c r="A1017" s="2" t="n">
        <v>45942</v>
      </c>
      <c r="B1017" s="3" t="n">
        <v>2025</v>
      </c>
      <c r="C1017" s="3" t="n">
        <v>10</v>
      </c>
      <c r="D1017" s="3" t="n">
        <v>41</v>
      </c>
      <c r="E1017" s="3" t="inlineStr">
        <is>
          <t>S25-41</t>
        </is>
      </c>
    </row>
    <row r="1018">
      <c r="A1018" s="2" t="n">
        <v>45943</v>
      </c>
      <c r="B1018" s="3" t="n">
        <v>2025</v>
      </c>
      <c r="C1018" s="3" t="n">
        <v>10</v>
      </c>
      <c r="D1018" s="3" t="n">
        <v>42</v>
      </c>
      <c r="E1018" s="3" t="inlineStr">
        <is>
          <t>S25-42</t>
        </is>
      </c>
    </row>
    <row r="1019">
      <c r="A1019" s="2" t="n">
        <v>45944</v>
      </c>
      <c r="B1019" s="3" t="n">
        <v>2025</v>
      </c>
      <c r="C1019" s="3" t="n">
        <v>10</v>
      </c>
      <c r="D1019" s="3" t="n">
        <v>42</v>
      </c>
      <c r="E1019" s="3" t="inlineStr">
        <is>
          <t>S25-42</t>
        </is>
      </c>
    </row>
    <row r="1020">
      <c r="A1020" s="2" t="n">
        <v>45945</v>
      </c>
      <c r="B1020" s="3" t="n">
        <v>2025</v>
      </c>
      <c r="C1020" s="3" t="n">
        <v>10</v>
      </c>
      <c r="D1020" s="3" t="n">
        <v>42</v>
      </c>
      <c r="E1020" s="3" t="inlineStr">
        <is>
          <t>S25-42</t>
        </is>
      </c>
    </row>
    <row r="1021">
      <c r="A1021" s="2" t="n">
        <v>45946</v>
      </c>
      <c r="B1021" s="3" t="n">
        <v>2025</v>
      </c>
      <c r="C1021" s="3" t="n">
        <v>10</v>
      </c>
      <c r="D1021" s="3" t="n">
        <v>42</v>
      </c>
      <c r="E1021" s="3" t="inlineStr">
        <is>
          <t>S25-42</t>
        </is>
      </c>
    </row>
    <row r="1022">
      <c r="A1022" s="2" t="n">
        <v>45947</v>
      </c>
      <c r="B1022" s="3" t="n">
        <v>2025</v>
      </c>
      <c r="C1022" s="3" t="n">
        <v>10</v>
      </c>
      <c r="D1022" s="3" t="n">
        <v>42</v>
      </c>
      <c r="E1022" s="3" t="inlineStr">
        <is>
          <t>S25-42</t>
        </is>
      </c>
    </row>
    <row r="1023">
      <c r="A1023" s="2" t="n">
        <v>45948</v>
      </c>
      <c r="B1023" s="3" t="n">
        <v>2025</v>
      </c>
      <c r="C1023" s="3" t="n">
        <v>10</v>
      </c>
      <c r="D1023" s="3" t="n">
        <v>42</v>
      </c>
      <c r="E1023" s="3" t="inlineStr">
        <is>
          <t>S25-42</t>
        </is>
      </c>
    </row>
    <row r="1024">
      <c r="A1024" s="2" t="n">
        <v>45949</v>
      </c>
      <c r="B1024" s="3" t="n">
        <v>2025</v>
      </c>
      <c r="C1024" s="3" t="n">
        <v>10</v>
      </c>
      <c r="D1024" s="3" t="n">
        <v>42</v>
      </c>
      <c r="E1024" s="3" t="inlineStr">
        <is>
          <t>S25-42</t>
        </is>
      </c>
    </row>
    <row r="1025">
      <c r="A1025" s="2" t="n">
        <v>45950</v>
      </c>
      <c r="B1025" s="3" t="n">
        <v>2025</v>
      </c>
      <c r="C1025" s="3" t="n">
        <v>10</v>
      </c>
      <c r="D1025" s="3" t="n">
        <v>43</v>
      </c>
      <c r="E1025" s="3" t="inlineStr">
        <is>
          <t>S25-43</t>
        </is>
      </c>
    </row>
    <row r="1026">
      <c r="A1026" s="2" t="n">
        <v>45951</v>
      </c>
      <c r="B1026" s="3" t="n">
        <v>2025</v>
      </c>
      <c r="C1026" s="3" t="n">
        <v>10</v>
      </c>
      <c r="D1026" s="3" t="n">
        <v>43</v>
      </c>
      <c r="E1026" s="3" t="inlineStr">
        <is>
          <t>S25-43</t>
        </is>
      </c>
    </row>
    <row r="1027">
      <c r="A1027" s="2" t="n">
        <v>45952</v>
      </c>
      <c r="B1027" s="3" t="n">
        <v>2025</v>
      </c>
      <c r="C1027" s="3" t="n">
        <v>10</v>
      </c>
      <c r="D1027" s="3" t="n">
        <v>43</v>
      </c>
      <c r="E1027" s="3" t="inlineStr">
        <is>
          <t>S25-43</t>
        </is>
      </c>
    </row>
    <row r="1028">
      <c r="A1028" s="2" t="n">
        <v>45953</v>
      </c>
      <c r="B1028" s="3" t="n">
        <v>2025</v>
      </c>
      <c r="C1028" s="3" t="n">
        <v>10</v>
      </c>
      <c r="D1028" s="3" t="n">
        <v>43</v>
      </c>
      <c r="E1028" s="3" t="inlineStr">
        <is>
          <t>S25-43</t>
        </is>
      </c>
    </row>
    <row r="1029">
      <c r="A1029" s="2" t="n">
        <v>45954</v>
      </c>
      <c r="B1029" s="3" t="n">
        <v>2025</v>
      </c>
      <c r="C1029" s="3" t="n">
        <v>10</v>
      </c>
      <c r="D1029" s="3" t="n">
        <v>43</v>
      </c>
      <c r="E1029" s="3" t="inlineStr">
        <is>
          <t>S25-43</t>
        </is>
      </c>
    </row>
    <row r="1030">
      <c r="A1030" s="2" t="n">
        <v>45955</v>
      </c>
      <c r="B1030" s="3" t="n">
        <v>2025</v>
      </c>
      <c r="C1030" s="3" t="n">
        <v>10</v>
      </c>
      <c r="D1030" s="3" t="n">
        <v>43</v>
      </c>
      <c r="E1030" s="3" t="inlineStr">
        <is>
          <t>S25-43</t>
        </is>
      </c>
    </row>
    <row r="1031">
      <c r="A1031" s="2" t="n">
        <v>45956</v>
      </c>
      <c r="B1031" s="3" t="n">
        <v>2025</v>
      </c>
      <c r="C1031" s="3" t="n">
        <v>10</v>
      </c>
      <c r="D1031" s="3" t="n">
        <v>43</v>
      </c>
      <c r="E1031" s="3" t="inlineStr">
        <is>
          <t>S25-43</t>
        </is>
      </c>
    </row>
    <row r="1032">
      <c r="A1032" s="2" t="n">
        <v>45957</v>
      </c>
      <c r="B1032" s="3" t="n">
        <v>2025</v>
      </c>
      <c r="C1032" s="3" t="n">
        <v>10</v>
      </c>
      <c r="D1032" s="3" t="n">
        <v>44</v>
      </c>
      <c r="E1032" s="3" t="inlineStr">
        <is>
          <t>S25-44</t>
        </is>
      </c>
    </row>
    <row r="1033">
      <c r="A1033" s="2" t="n">
        <v>45958</v>
      </c>
      <c r="B1033" s="3" t="n">
        <v>2025</v>
      </c>
      <c r="C1033" s="3" t="n">
        <v>10</v>
      </c>
      <c r="D1033" s="3" t="n">
        <v>44</v>
      </c>
      <c r="E1033" s="3" t="inlineStr">
        <is>
          <t>S25-44</t>
        </is>
      </c>
    </row>
    <row r="1034">
      <c r="A1034" s="2" t="n">
        <v>45959</v>
      </c>
      <c r="B1034" s="3" t="n">
        <v>2025</v>
      </c>
      <c r="C1034" s="3" t="n">
        <v>10</v>
      </c>
      <c r="D1034" s="3" t="n">
        <v>44</v>
      </c>
      <c r="E1034" s="3" t="inlineStr">
        <is>
          <t>S25-44</t>
        </is>
      </c>
    </row>
    <row r="1035">
      <c r="A1035" s="2" t="n">
        <v>45960</v>
      </c>
      <c r="B1035" s="3" t="n">
        <v>2025</v>
      </c>
      <c r="C1035" s="3" t="n">
        <v>10</v>
      </c>
      <c r="D1035" s="3" t="n">
        <v>44</v>
      </c>
      <c r="E1035" s="3" t="inlineStr">
        <is>
          <t>S25-44</t>
        </is>
      </c>
    </row>
    <row r="1036">
      <c r="A1036" s="2" t="n">
        <v>45961</v>
      </c>
      <c r="B1036" s="3" t="n">
        <v>2025</v>
      </c>
      <c r="C1036" s="3" t="n">
        <v>10</v>
      </c>
      <c r="D1036" s="3" t="n">
        <v>44</v>
      </c>
      <c r="E1036" s="3" t="inlineStr">
        <is>
          <t>S25-44</t>
        </is>
      </c>
    </row>
    <row r="1037">
      <c r="A1037" s="2" t="n">
        <v>45962</v>
      </c>
      <c r="B1037" s="3" t="n">
        <v>2025</v>
      </c>
      <c r="C1037" s="3" t="n">
        <v>11</v>
      </c>
      <c r="D1037" s="3" t="n">
        <v>44</v>
      </c>
      <c r="E1037" s="3" t="inlineStr">
        <is>
          <t>S25-44</t>
        </is>
      </c>
    </row>
    <row r="1038">
      <c r="A1038" s="2" t="n">
        <v>45963</v>
      </c>
      <c r="B1038" s="3" t="n">
        <v>2025</v>
      </c>
      <c r="C1038" s="3" t="n">
        <v>11</v>
      </c>
      <c r="D1038" s="3" t="n">
        <v>44</v>
      </c>
      <c r="E1038" s="3" t="inlineStr">
        <is>
          <t>S25-44</t>
        </is>
      </c>
    </row>
    <row r="1039">
      <c r="A1039" s="2" t="n">
        <v>45964</v>
      </c>
      <c r="B1039" s="3" t="n">
        <v>2025</v>
      </c>
      <c r="C1039" s="3" t="n">
        <v>11</v>
      </c>
      <c r="D1039" s="3" t="n">
        <v>45</v>
      </c>
      <c r="E1039" s="3" t="inlineStr">
        <is>
          <t>S25-45</t>
        </is>
      </c>
    </row>
    <row r="1040">
      <c r="A1040" s="2" t="n">
        <v>45965</v>
      </c>
      <c r="B1040" s="3" t="n">
        <v>2025</v>
      </c>
      <c r="C1040" s="3" t="n">
        <v>11</v>
      </c>
      <c r="D1040" s="3" t="n">
        <v>45</v>
      </c>
      <c r="E1040" s="3" t="inlineStr">
        <is>
          <t>S25-45</t>
        </is>
      </c>
    </row>
    <row r="1041">
      <c r="A1041" s="2" t="n">
        <v>45966</v>
      </c>
      <c r="B1041" s="3" t="n">
        <v>2025</v>
      </c>
      <c r="C1041" s="3" t="n">
        <v>11</v>
      </c>
      <c r="D1041" s="3" t="n">
        <v>45</v>
      </c>
      <c r="E1041" s="3" t="inlineStr">
        <is>
          <t>S25-45</t>
        </is>
      </c>
    </row>
    <row r="1042">
      <c r="A1042" s="2" t="n">
        <v>45967</v>
      </c>
      <c r="B1042" s="3" t="n">
        <v>2025</v>
      </c>
      <c r="C1042" s="3" t="n">
        <v>11</v>
      </c>
      <c r="D1042" s="3" t="n">
        <v>45</v>
      </c>
      <c r="E1042" s="3" t="inlineStr">
        <is>
          <t>S25-45</t>
        </is>
      </c>
    </row>
    <row r="1043">
      <c r="A1043" s="2" t="n">
        <v>45968</v>
      </c>
      <c r="B1043" s="3" t="n">
        <v>2025</v>
      </c>
      <c r="C1043" s="3" t="n">
        <v>11</v>
      </c>
      <c r="D1043" s="3" t="n">
        <v>45</v>
      </c>
      <c r="E1043" s="3" t="inlineStr">
        <is>
          <t>S25-45</t>
        </is>
      </c>
    </row>
    <row r="1044">
      <c r="A1044" s="2" t="n">
        <v>45969</v>
      </c>
      <c r="B1044" s="3" t="n">
        <v>2025</v>
      </c>
      <c r="C1044" s="3" t="n">
        <v>11</v>
      </c>
      <c r="D1044" s="3" t="n">
        <v>45</v>
      </c>
      <c r="E1044" s="3" t="inlineStr">
        <is>
          <t>S25-45</t>
        </is>
      </c>
    </row>
    <row r="1045">
      <c r="A1045" s="2" t="n">
        <v>45970</v>
      </c>
      <c r="B1045" s="3" t="n">
        <v>2025</v>
      </c>
      <c r="C1045" s="3" t="n">
        <v>11</v>
      </c>
      <c r="D1045" s="3" t="n">
        <v>45</v>
      </c>
      <c r="E1045" s="3" t="inlineStr">
        <is>
          <t>S25-45</t>
        </is>
      </c>
    </row>
    <row r="1046">
      <c r="A1046" s="2" t="n">
        <v>45971</v>
      </c>
      <c r="B1046" s="3" t="n">
        <v>2025</v>
      </c>
      <c r="C1046" s="3" t="n">
        <v>11</v>
      </c>
      <c r="D1046" s="3" t="n">
        <v>46</v>
      </c>
      <c r="E1046" s="3" t="inlineStr">
        <is>
          <t>S25-46</t>
        </is>
      </c>
    </row>
    <row r="1047">
      <c r="A1047" s="2" t="n">
        <v>45972</v>
      </c>
      <c r="B1047" s="3" t="n">
        <v>2025</v>
      </c>
      <c r="C1047" s="3" t="n">
        <v>11</v>
      </c>
      <c r="D1047" s="3" t="n">
        <v>46</v>
      </c>
      <c r="E1047" s="3" t="inlineStr">
        <is>
          <t>S25-46</t>
        </is>
      </c>
    </row>
    <row r="1048">
      <c r="A1048" s="2" t="n">
        <v>45973</v>
      </c>
      <c r="B1048" s="3" t="n">
        <v>2025</v>
      </c>
      <c r="C1048" s="3" t="n">
        <v>11</v>
      </c>
      <c r="D1048" s="3" t="n">
        <v>46</v>
      </c>
      <c r="E1048" s="3" t="inlineStr">
        <is>
          <t>S25-46</t>
        </is>
      </c>
    </row>
    <row r="1049">
      <c r="A1049" s="2" t="n">
        <v>45974</v>
      </c>
      <c r="B1049" s="3" t="n">
        <v>2025</v>
      </c>
      <c r="C1049" s="3" t="n">
        <v>11</v>
      </c>
      <c r="D1049" s="3" t="n">
        <v>46</v>
      </c>
      <c r="E1049" s="3" t="inlineStr">
        <is>
          <t>S25-46</t>
        </is>
      </c>
    </row>
    <row r="1050">
      <c r="A1050" s="2" t="n">
        <v>45975</v>
      </c>
      <c r="B1050" s="3" t="n">
        <v>2025</v>
      </c>
      <c r="C1050" s="3" t="n">
        <v>11</v>
      </c>
      <c r="D1050" s="3" t="n">
        <v>46</v>
      </c>
      <c r="E1050" s="3" t="inlineStr">
        <is>
          <t>S25-46</t>
        </is>
      </c>
    </row>
    <row r="1051">
      <c r="A1051" s="2" t="n">
        <v>45976</v>
      </c>
      <c r="B1051" s="3" t="n">
        <v>2025</v>
      </c>
      <c r="C1051" s="3" t="n">
        <v>11</v>
      </c>
      <c r="D1051" s="3" t="n">
        <v>46</v>
      </c>
      <c r="E1051" s="3" t="inlineStr">
        <is>
          <t>S25-46</t>
        </is>
      </c>
    </row>
    <row r="1052">
      <c r="A1052" s="2" t="n">
        <v>45977</v>
      </c>
      <c r="B1052" s="3" t="n">
        <v>2025</v>
      </c>
      <c r="C1052" s="3" t="n">
        <v>11</v>
      </c>
      <c r="D1052" s="3" t="n">
        <v>46</v>
      </c>
      <c r="E1052" s="3" t="inlineStr">
        <is>
          <t>S25-46</t>
        </is>
      </c>
    </row>
    <row r="1053">
      <c r="A1053" s="2" t="n">
        <v>45978</v>
      </c>
      <c r="B1053" s="3" t="n">
        <v>2025</v>
      </c>
      <c r="C1053" s="3" t="n">
        <v>11</v>
      </c>
      <c r="D1053" s="3" t="n">
        <v>47</v>
      </c>
      <c r="E1053" s="3" t="inlineStr">
        <is>
          <t>S25-47</t>
        </is>
      </c>
    </row>
    <row r="1054">
      <c r="A1054" s="2" t="n">
        <v>45979</v>
      </c>
      <c r="B1054" s="3" t="n">
        <v>2025</v>
      </c>
      <c r="C1054" s="3" t="n">
        <v>11</v>
      </c>
      <c r="D1054" s="3" t="n">
        <v>47</v>
      </c>
      <c r="E1054" s="3" t="inlineStr">
        <is>
          <t>S25-47</t>
        </is>
      </c>
    </row>
    <row r="1055">
      <c r="A1055" s="2" t="n">
        <v>45980</v>
      </c>
      <c r="B1055" s="3" t="n">
        <v>2025</v>
      </c>
      <c r="C1055" s="3" t="n">
        <v>11</v>
      </c>
      <c r="D1055" s="3" t="n">
        <v>47</v>
      </c>
      <c r="E1055" s="3" t="inlineStr">
        <is>
          <t>S25-47</t>
        </is>
      </c>
    </row>
    <row r="1056">
      <c r="A1056" s="2" t="n">
        <v>45981</v>
      </c>
      <c r="B1056" s="3" t="n">
        <v>2025</v>
      </c>
      <c r="C1056" s="3" t="n">
        <v>11</v>
      </c>
      <c r="D1056" s="3" t="n">
        <v>47</v>
      </c>
      <c r="E1056" s="3" t="inlineStr">
        <is>
          <t>S25-47</t>
        </is>
      </c>
    </row>
    <row r="1057">
      <c r="A1057" s="2" t="n">
        <v>45982</v>
      </c>
      <c r="B1057" s="3" t="n">
        <v>2025</v>
      </c>
      <c r="C1057" s="3" t="n">
        <v>11</v>
      </c>
      <c r="D1057" s="3" t="n">
        <v>47</v>
      </c>
      <c r="E1057" s="3" t="inlineStr">
        <is>
          <t>S25-47</t>
        </is>
      </c>
    </row>
    <row r="1058">
      <c r="A1058" s="2" t="n">
        <v>45983</v>
      </c>
      <c r="B1058" s="3" t="n">
        <v>2025</v>
      </c>
      <c r="C1058" s="3" t="n">
        <v>11</v>
      </c>
      <c r="D1058" s="3" t="n">
        <v>47</v>
      </c>
      <c r="E1058" s="3" t="inlineStr">
        <is>
          <t>S25-47</t>
        </is>
      </c>
    </row>
    <row r="1059">
      <c r="A1059" s="2" t="n">
        <v>45984</v>
      </c>
      <c r="B1059" s="3" t="n">
        <v>2025</v>
      </c>
      <c r="C1059" s="3" t="n">
        <v>11</v>
      </c>
      <c r="D1059" s="3" t="n">
        <v>47</v>
      </c>
      <c r="E1059" s="3" t="inlineStr">
        <is>
          <t>S25-47</t>
        </is>
      </c>
    </row>
    <row r="1060">
      <c r="A1060" s="2" t="n">
        <v>45985</v>
      </c>
      <c r="B1060" s="3" t="n">
        <v>2025</v>
      </c>
      <c r="C1060" s="3" t="n">
        <v>11</v>
      </c>
      <c r="D1060" s="3" t="n">
        <v>48</v>
      </c>
      <c r="E1060" s="3" t="inlineStr">
        <is>
          <t>S25-48</t>
        </is>
      </c>
    </row>
    <row r="1061">
      <c r="A1061" s="2" t="n">
        <v>45986</v>
      </c>
      <c r="B1061" s="3" t="n">
        <v>2025</v>
      </c>
      <c r="C1061" s="3" t="n">
        <v>11</v>
      </c>
      <c r="D1061" s="3" t="n">
        <v>48</v>
      </c>
      <c r="E1061" s="3" t="inlineStr">
        <is>
          <t>S25-48</t>
        </is>
      </c>
    </row>
    <row r="1062">
      <c r="A1062" s="2" t="n">
        <v>45987</v>
      </c>
      <c r="B1062" s="3" t="n">
        <v>2025</v>
      </c>
      <c r="C1062" s="3" t="n">
        <v>11</v>
      </c>
      <c r="D1062" s="3" t="n">
        <v>48</v>
      </c>
      <c r="E1062" s="3" t="inlineStr">
        <is>
          <t>S25-48</t>
        </is>
      </c>
    </row>
    <row r="1063">
      <c r="A1063" s="2" t="n">
        <v>45988</v>
      </c>
      <c r="B1063" s="3" t="n">
        <v>2025</v>
      </c>
      <c r="C1063" s="3" t="n">
        <v>11</v>
      </c>
      <c r="D1063" s="3" t="n">
        <v>48</v>
      </c>
      <c r="E1063" s="3" t="inlineStr">
        <is>
          <t>S25-48</t>
        </is>
      </c>
    </row>
    <row r="1064">
      <c r="A1064" s="2" t="n">
        <v>45989</v>
      </c>
      <c r="B1064" s="3" t="n">
        <v>2025</v>
      </c>
      <c r="C1064" s="3" t="n">
        <v>11</v>
      </c>
      <c r="D1064" s="3" t="n">
        <v>48</v>
      </c>
      <c r="E1064" s="3" t="inlineStr">
        <is>
          <t>S25-48</t>
        </is>
      </c>
    </row>
    <row r="1065">
      <c r="A1065" s="2" t="n">
        <v>45990</v>
      </c>
      <c r="B1065" s="3" t="n">
        <v>2025</v>
      </c>
      <c r="C1065" s="3" t="n">
        <v>11</v>
      </c>
      <c r="D1065" s="3" t="n">
        <v>48</v>
      </c>
      <c r="E1065" s="3" t="inlineStr">
        <is>
          <t>S25-48</t>
        </is>
      </c>
    </row>
    <row r="1066">
      <c r="A1066" s="2" t="n">
        <v>45991</v>
      </c>
      <c r="B1066" s="3" t="n">
        <v>2025</v>
      </c>
      <c r="C1066" s="3" t="n">
        <v>11</v>
      </c>
      <c r="D1066" s="3" t="n">
        <v>48</v>
      </c>
      <c r="E1066" s="3" t="inlineStr">
        <is>
          <t>S25-48</t>
        </is>
      </c>
    </row>
    <row r="1067">
      <c r="A1067" s="2" t="n">
        <v>45992</v>
      </c>
      <c r="B1067" s="3" t="n">
        <v>2025</v>
      </c>
      <c r="C1067" s="3" t="n">
        <v>12</v>
      </c>
      <c r="D1067" s="3" t="n">
        <v>49</v>
      </c>
      <c r="E1067" s="3" t="inlineStr">
        <is>
          <t>S25-49</t>
        </is>
      </c>
    </row>
    <row r="1068">
      <c r="A1068" s="2" t="n">
        <v>45993</v>
      </c>
      <c r="B1068" s="3" t="n">
        <v>2025</v>
      </c>
      <c r="C1068" s="3" t="n">
        <v>12</v>
      </c>
      <c r="D1068" s="3" t="n">
        <v>49</v>
      </c>
      <c r="E1068" s="3" t="inlineStr">
        <is>
          <t>S25-49</t>
        </is>
      </c>
    </row>
    <row r="1069">
      <c r="A1069" s="2" t="n">
        <v>45994</v>
      </c>
      <c r="B1069" s="3" t="n">
        <v>2025</v>
      </c>
      <c r="C1069" s="3" t="n">
        <v>12</v>
      </c>
      <c r="D1069" s="3" t="n">
        <v>49</v>
      </c>
      <c r="E1069" s="3" t="inlineStr">
        <is>
          <t>S25-49</t>
        </is>
      </c>
    </row>
    <row r="1070">
      <c r="A1070" s="2" t="n">
        <v>45995</v>
      </c>
      <c r="B1070" s="3" t="n">
        <v>2025</v>
      </c>
      <c r="C1070" s="3" t="n">
        <v>12</v>
      </c>
      <c r="D1070" s="3" t="n">
        <v>49</v>
      </c>
      <c r="E1070" s="3" t="inlineStr">
        <is>
          <t>S25-49</t>
        </is>
      </c>
    </row>
    <row r="1071">
      <c r="A1071" s="2" t="n">
        <v>45996</v>
      </c>
      <c r="B1071" s="3" t="n">
        <v>2025</v>
      </c>
      <c r="C1071" s="3" t="n">
        <v>12</v>
      </c>
      <c r="D1071" s="3" t="n">
        <v>49</v>
      </c>
      <c r="E1071" s="3" t="inlineStr">
        <is>
          <t>S25-49</t>
        </is>
      </c>
    </row>
    <row r="1072">
      <c r="A1072" s="2" t="n">
        <v>45997</v>
      </c>
      <c r="B1072" s="3" t="n">
        <v>2025</v>
      </c>
      <c r="C1072" s="3" t="n">
        <v>12</v>
      </c>
      <c r="D1072" s="3" t="n">
        <v>49</v>
      </c>
      <c r="E1072" s="3" t="inlineStr">
        <is>
          <t>S25-49</t>
        </is>
      </c>
    </row>
    <row r="1073">
      <c r="A1073" s="2" t="n">
        <v>45998</v>
      </c>
      <c r="B1073" s="3" t="n">
        <v>2025</v>
      </c>
      <c r="C1073" s="3" t="n">
        <v>12</v>
      </c>
      <c r="D1073" s="3" t="n">
        <v>49</v>
      </c>
      <c r="E1073" s="3" t="inlineStr">
        <is>
          <t>S25-49</t>
        </is>
      </c>
    </row>
    <row r="1074">
      <c r="A1074" s="2" t="n">
        <v>45999</v>
      </c>
      <c r="B1074" s="3" t="n">
        <v>2025</v>
      </c>
      <c r="C1074" s="3" t="n">
        <v>12</v>
      </c>
      <c r="D1074" s="3" t="n">
        <v>50</v>
      </c>
      <c r="E1074" s="3" t="inlineStr">
        <is>
          <t>S25-50</t>
        </is>
      </c>
    </row>
    <row r="1075">
      <c r="A1075" s="2" t="n">
        <v>46000</v>
      </c>
      <c r="B1075" s="3" t="n">
        <v>2025</v>
      </c>
      <c r="C1075" s="3" t="n">
        <v>12</v>
      </c>
      <c r="D1075" s="3" t="n">
        <v>50</v>
      </c>
      <c r="E1075" s="3" t="inlineStr">
        <is>
          <t>S25-50</t>
        </is>
      </c>
    </row>
    <row r="1076">
      <c r="A1076" s="2" t="n">
        <v>46001</v>
      </c>
      <c r="B1076" s="3" t="n">
        <v>2025</v>
      </c>
      <c r="C1076" s="3" t="n">
        <v>12</v>
      </c>
      <c r="D1076" s="3" t="n">
        <v>50</v>
      </c>
      <c r="E1076" s="3" t="inlineStr">
        <is>
          <t>S25-50</t>
        </is>
      </c>
    </row>
    <row r="1077">
      <c r="A1077" s="2" t="n">
        <v>46002</v>
      </c>
      <c r="B1077" s="3" t="n">
        <v>2025</v>
      </c>
      <c r="C1077" s="3" t="n">
        <v>12</v>
      </c>
      <c r="D1077" s="3" t="n">
        <v>50</v>
      </c>
      <c r="E1077" s="3" t="inlineStr">
        <is>
          <t>S25-50</t>
        </is>
      </c>
    </row>
    <row r="1078">
      <c r="A1078" s="2" t="n">
        <v>46003</v>
      </c>
      <c r="B1078" s="3" t="n">
        <v>2025</v>
      </c>
      <c r="C1078" s="3" t="n">
        <v>12</v>
      </c>
      <c r="D1078" s="3" t="n">
        <v>50</v>
      </c>
      <c r="E1078" s="3" t="inlineStr">
        <is>
          <t>S25-50</t>
        </is>
      </c>
    </row>
    <row r="1079">
      <c r="A1079" s="2" t="n">
        <v>46004</v>
      </c>
      <c r="B1079" s="3" t="n">
        <v>2025</v>
      </c>
      <c r="C1079" s="3" t="n">
        <v>12</v>
      </c>
      <c r="D1079" s="3" t="n">
        <v>50</v>
      </c>
      <c r="E1079" s="3" t="inlineStr">
        <is>
          <t>S25-50</t>
        </is>
      </c>
    </row>
    <row r="1080">
      <c r="A1080" s="2" t="n">
        <v>46005</v>
      </c>
      <c r="B1080" s="3" t="n">
        <v>2025</v>
      </c>
      <c r="C1080" s="3" t="n">
        <v>12</v>
      </c>
      <c r="D1080" s="3" t="n">
        <v>50</v>
      </c>
      <c r="E1080" s="3" t="inlineStr">
        <is>
          <t>S25-50</t>
        </is>
      </c>
    </row>
    <row r="1081">
      <c r="A1081" s="2" t="n">
        <v>46006</v>
      </c>
      <c r="B1081" s="3" t="n">
        <v>2025</v>
      </c>
      <c r="C1081" s="3" t="n">
        <v>12</v>
      </c>
      <c r="D1081" s="3" t="n">
        <v>51</v>
      </c>
      <c r="E1081" s="3" t="inlineStr">
        <is>
          <t>S25-51</t>
        </is>
      </c>
    </row>
    <row r="1082">
      <c r="A1082" s="2" t="n">
        <v>46007</v>
      </c>
      <c r="B1082" s="3" t="n">
        <v>2025</v>
      </c>
      <c r="C1082" s="3" t="n">
        <v>12</v>
      </c>
      <c r="D1082" s="3" t="n">
        <v>51</v>
      </c>
      <c r="E1082" s="3" t="inlineStr">
        <is>
          <t>S25-51</t>
        </is>
      </c>
    </row>
    <row r="1083">
      <c r="A1083" s="2" t="n">
        <v>46008</v>
      </c>
      <c r="B1083" s="3" t="n">
        <v>2025</v>
      </c>
      <c r="C1083" s="3" t="n">
        <v>12</v>
      </c>
      <c r="D1083" s="3" t="n">
        <v>51</v>
      </c>
      <c r="E1083" s="3" t="inlineStr">
        <is>
          <t>S25-51</t>
        </is>
      </c>
    </row>
    <row r="1084">
      <c r="A1084" s="2" t="n">
        <v>46009</v>
      </c>
      <c r="B1084" s="3" t="n">
        <v>2025</v>
      </c>
      <c r="C1084" s="3" t="n">
        <v>12</v>
      </c>
      <c r="D1084" s="3" t="n">
        <v>51</v>
      </c>
      <c r="E1084" s="3" t="inlineStr">
        <is>
          <t>S25-51</t>
        </is>
      </c>
    </row>
    <row r="1085">
      <c r="A1085" s="2" t="n">
        <v>46010</v>
      </c>
      <c r="B1085" s="3" t="n">
        <v>2025</v>
      </c>
      <c r="C1085" s="3" t="n">
        <v>12</v>
      </c>
      <c r="D1085" s="3" t="n">
        <v>51</v>
      </c>
      <c r="E1085" s="3" t="inlineStr">
        <is>
          <t>S25-51</t>
        </is>
      </c>
    </row>
    <row r="1086">
      <c r="A1086" s="2" t="n">
        <v>46011</v>
      </c>
      <c r="B1086" s="3" t="n">
        <v>2025</v>
      </c>
      <c r="C1086" s="3" t="n">
        <v>12</v>
      </c>
      <c r="D1086" s="3" t="n">
        <v>51</v>
      </c>
      <c r="E1086" s="3" t="inlineStr">
        <is>
          <t>S25-51</t>
        </is>
      </c>
    </row>
    <row r="1087">
      <c r="A1087" s="2" t="n">
        <v>46012</v>
      </c>
      <c r="B1087" s="3" t="n">
        <v>2025</v>
      </c>
      <c r="C1087" s="3" t="n">
        <v>12</v>
      </c>
      <c r="D1087" s="3" t="n">
        <v>51</v>
      </c>
      <c r="E1087" s="3" t="inlineStr">
        <is>
          <t>S25-51</t>
        </is>
      </c>
    </row>
    <row r="1088">
      <c r="A1088" s="2" t="n">
        <v>46013</v>
      </c>
      <c r="B1088" s="3" t="n">
        <v>2025</v>
      </c>
      <c r="C1088" s="3" t="n">
        <v>12</v>
      </c>
      <c r="D1088" s="3" t="n">
        <v>52</v>
      </c>
      <c r="E1088" s="3" t="inlineStr">
        <is>
          <t>S25-52</t>
        </is>
      </c>
    </row>
    <row r="1089">
      <c r="A1089" s="2" t="n">
        <v>46014</v>
      </c>
      <c r="B1089" s="3" t="n">
        <v>2025</v>
      </c>
      <c r="C1089" s="3" t="n">
        <v>12</v>
      </c>
      <c r="D1089" s="3" t="n">
        <v>52</v>
      </c>
      <c r="E1089" s="3" t="inlineStr">
        <is>
          <t>S25-52</t>
        </is>
      </c>
    </row>
    <row r="1090">
      <c r="A1090" s="2" t="n">
        <v>46015</v>
      </c>
      <c r="B1090" s="3" t="n">
        <v>2025</v>
      </c>
      <c r="C1090" s="3" t="n">
        <v>12</v>
      </c>
      <c r="D1090" s="3" t="n">
        <v>52</v>
      </c>
      <c r="E1090" s="3" t="inlineStr">
        <is>
          <t>S25-52</t>
        </is>
      </c>
    </row>
    <row r="1091">
      <c r="A1091" s="2" t="n">
        <v>46016</v>
      </c>
      <c r="B1091" s="3" t="n">
        <v>2025</v>
      </c>
      <c r="C1091" s="3" t="n">
        <v>12</v>
      </c>
      <c r="D1091" s="3" t="n">
        <v>52</v>
      </c>
      <c r="E1091" s="3" t="inlineStr">
        <is>
          <t>S25-52</t>
        </is>
      </c>
    </row>
    <row r="1092">
      <c r="A1092" s="2" t="n">
        <v>46017</v>
      </c>
      <c r="B1092" s="3" t="n">
        <v>2025</v>
      </c>
      <c r="C1092" s="3" t="n">
        <v>12</v>
      </c>
      <c r="D1092" s="3" t="n">
        <v>52</v>
      </c>
      <c r="E1092" s="3" t="inlineStr">
        <is>
          <t>S25-52</t>
        </is>
      </c>
    </row>
    <row r="1093">
      <c r="A1093" s="2" t="n">
        <v>46018</v>
      </c>
      <c r="B1093" s="3" t="n">
        <v>2025</v>
      </c>
      <c r="C1093" s="3" t="n">
        <v>12</v>
      </c>
      <c r="D1093" s="3" t="n">
        <v>52</v>
      </c>
      <c r="E1093" s="3" t="inlineStr">
        <is>
          <t>S25-52</t>
        </is>
      </c>
    </row>
    <row r="1094">
      <c r="A1094" s="2" t="n">
        <v>46019</v>
      </c>
      <c r="B1094" s="3" t="n">
        <v>2025</v>
      </c>
      <c r="C1094" s="3" t="n">
        <v>12</v>
      </c>
      <c r="D1094" s="3" t="n">
        <v>52</v>
      </c>
      <c r="E1094" s="3" t="inlineStr">
        <is>
          <t>S25-52</t>
        </is>
      </c>
    </row>
    <row r="1095">
      <c r="A1095" s="2" t="n">
        <v>46020</v>
      </c>
      <c r="B1095" s="3" t="n">
        <v>2025</v>
      </c>
      <c r="C1095" s="3" t="n">
        <v>12</v>
      </c>
      <c r="D1095" s="3" t="n">
        <v>1</v>
      </c>
      <c r="E1095" s="3" t="inlineStr">
        <is>
          <t>S26-01</t>
        </is>
      </c>
    </row>
    <row r="1096">
      <c r="A1096" s="2" t="n">
        <v>46021</v>
      </c>
      <c r="B1096" s="3" t="n">
        <v>2025</v>
      </c>
      <c r="C1096" s="3" t="n">
        <v>12</v>
      </c>
      <c r="D1096" s="3" t="n">
        <v>1</v>
      </c>
      <c r="E1096" s="3" t="inlineStr">
        <is>
          <t>S26-01</t>
        </is>
      </c>
    </row>
    <row r="1097">
      <c r="A1097" s="2" t="n">
        <v>46022</v>
      </c>
      <c r="B1097" s="3" t="n">
        <v>2025</v>
      </c>
      <c r="C1097" s="3" t="n">
        <v>12</v>
      </c>
      <c r="D1097" s="3" t="n">
        <v>1</v>
      </c>
      <c r="E1097" s="3" t="inlineStr">
        <is>
          <t>S26-01</t>
        </is>
      </c>
    </row>
    <row r="1098">
      <c r="A1098" s="2" t="n">
        <v>46023</v>
      </c>
      <c r="B1098" s="3" t="n">
        <v>2026</v>
      </c>
      <c r="C1098" s="3" t="n">
        <v>1</v>
      </c>
      <c r="D1098" s="3" t="n">
        <v>1</v>
      </c>
      <c r="E1098" s="3" t="inlineStr">
        <is>
          <t>S26-01</t>
        </is>
      </c>
    </row>
    <row r="1099">
      <c r="A1099" s="2" t="n">
        <v>46024</v>
      </c>
      <c r="B1099" s="3" t="n">
        <v>2026</v>
      </c>
      <c r="C1099" s="3" t="n">
        <v>1</v>
      </c>
      <c r="D1099" s="3" t="n">
        <v>1</v>
      </c>
      <c r="E1099" s="3" t="inlineStr">
        <is>
          <t>S26-01</t>
        </is>
      </c>
    </row>
    <row r="1100">
      <c r="A1100" s="2" t="n">
        <v>46025</v>
      </c>
      <c r="B1100" s="3" t="n">
        <v>2026</v>
      </c>
      <c r="C1100" s="3" t="n">
        <v>1</v>
      </c>
      <c r="D1100" s="3" t="n">
        <v>1</v>
      </c>
      <c r="E1100" s="3" t="inlineStr">
        <is>
          <t>S26-01</t>
        </is>
      </c>
    </row>
    <row r="1101">
      <c r="A1101" s="2" t="n">
        <v>46026</v>
      </c>
      <c r="B1101" s="3" t="n">
        <v>2026</v>
      </c>
      <c r="C1101" s="3" t="n">
        <v>1</v>
      </c>
      <c r="D1101" s="3" t="n">
        <v>1</v>
      </c>
      <c r="E1101" s="3" t="inlineStr">
        <is>
          <t>S26-01</t>
        </is>
      </c>
    </row>
    <row r="1102">
      <c r="A1102" s="2" t="n">
        <v>46027</v>
      </c>
      <c r="B1102" s="3" t="n">
        <v>2026</v>
      </c>
      <c r="C1102" s="3" t="n">
        <v>1</v>
      </c>
      <c r="D1102" s="3" t="n">
        <v>2</v>
      </c>
      <c r="E1102" s="3" t="inlineStr">
        <is>
          <t>S26-02</t>
        </is>
      </c>
    </row>
    <row r="1103">
      <c r="A1103" s="2" t="n">
        <v>46028</v>
      </c>
      <c r="B1103" s="3" t="n">
        <v>2026</v>
      </c>
      <c r="C1103" s="3" t="n">
        <v>1</v>
      </c>
      <c r="D1103" s="3" t="n">
        <v>2</v>
      </c>
      <c r="E1103" s="3" t="inlineStr">
        <is>
          <t>S26-02</t>
        </is>
      </c>
    </row>
    <row r="1104">
      <c r="A1104" s="2" t="n">
        <v>46029</v>
      </c>
      <c r="B1104" s="3" t="n">
        <v>2026</v>
      </c>
      <c r="C1104" s="3" t="n">
        <v>1</v>
      </c>
      <c r="D1104" s="3" t="n">
        <v>2</v>
      </c>
      <c r="E1104" s="3" t="inlineStr">
        <is>
          <t>S26-02</t>
        </is>
      </c>
    </row>
    <row r="1105">
      <c r="A1105" s="2" t="n">
        <v>46030</v>
      </c>
      <c r="B1105" s="3" t="n">
        <v>2026</v>
      </c>
      <c r="C1105" s="3" t="n">
        <v>1</v>
      </c>
      <c r="D1105" s="3" t="n">
        <v>2</v>
      </c>
      <c r="E1105" s="3" t="inlineStr">
        <is>
          <t>S26-02</t>
        </is>
      </c>
    </row>
    <row r="1106">
      <c r="A1106" s="2" t="n">
        <v>46031</v>
      </c>
      <c r="B1106" s="3" t="n">
        <v>2026</v>
      </c>
      <c r="C1106" s="3" t="n">
        <v>1</v>
      </c>
      <c r="D1106" s="3" t="n">
        <v>2</v>
      </c>
      <c r="E1106" s="3" t="inlineStr">
        <is>
          <t>S26-02</t>
        </is>
      </c>
    </row>
    <row r="1107">
      <c r="A1107" s="2" t="n">
        <v>46032</v>
      </c>
      <c r="B1107" s="3" t="n">
        <v>2026</v>
      </c>
      <c r="C1107" s="3" t="n">
        <v>1</v>
      </c>
      <c r="D1107" s="3" t="n">
        <v>2</v>
      </c>
      <c r="E1107" s="3" t="inlineStr">
        <is>
          <t>S26-02</t>
        </is>
      </c>
    </row>
    <row r="1108">
      <c r="A1108" s="2" t="n">
        <v>46033</v>
      </c>
      <c r="B1108" s="3" t="n">
        <v>2026</v>
      </c>
      <c r="C1108" s="3" t="n">
        <v>1</v>
      </c>
      <c r="D1108" s="3" t="n">
        <v>2</v>
      </c>
      <c r="E1108" s="3" t="inlineStr">
        <is>
          <t>S26-02</t>
        </is>
      </c>
    </row>
    <row r="1109">
      <c r="A1109" s="2" t="n">
        <v>46034</v>
      </c>
      <c r="B1109" s="3" t="n">
        <v>2026</v>
      </c>
      <c r="C1109" s="3" t="n">
        <v>1</v>
      </c>
      <c r="D1109" s="3" t="n">
        <v>3</v>
      </c>
      <c r="E1109" s="3" t="inlineStr">
        <is>
          <t>S26-03</t>
        </is>
      </c>
    </row>
    <row r="1110">
      <c r="A1110" s="2" t="n">
        <v>46035</v>
      </c>
      <c r="B1110" s="3" t="n">
        <v>2026</v>
      </c>
      <c r="C1110" s="3" t="n">
        <v>1</v>
      </c>
      <c r="D1110" s="3" t="n">
        <v>3</v>
      </c>
      <c r="E1110" s="3" t="inlineStr">
        <is>
          <t>S26-03</t>
        </is>
      </c>
    </row>
    <row r="1111">
      <c r="A1111" s="2" t="n">
        <v>46036</v>
      </c>
      <c r="B1111" s="3" t="n">
        <v>2026</v>
      </c>
      <c r="C1111" s="3" t="n">
        <v>1</v>
      </c>
      <c r="D1111" s="3" t="n">
        <v>3</v>
      </c>
      <c r="E1111" s="3" t="inlineStr">
        <is>
          <t>S26-03</t>
        </is>
      </c>
    </row>
    <row r="1112">
      <c r="A1112" s="2" t="n">
        <v>46037</v>
      </c>
      <c r="B1112" s="3" t="n">
        <v>2026</v>
      </c>
      <c r="C1112" s="3" t="n">
        <v>1</v>
      </c>
      <c r="D1112" s="3" t="n">
        <v>3</v>
      </c>
      <c r="E1112" s="3" t="inlineStr">
        <is>
          <t>S26-03</t>
        </is>
      </c>
    </row>
    <row r="1113">
      <c r="A1113" s="2" t="n">
        <v>46038</v>
      </c>
      <c r="B1113" s="3" t="n">
        <v>2026</v>
      </c>
      <c r="C1113" s="3" t="n">
        <v>1</v>
      </c>
      <c r="D1113" s="3" t="n">
        <v>3</v>
      </c>
      <c r="E1113" s="3" t="inlineStr">
        <is>
          <t>S26-03</t>
        </is>
      </c>
    </row>
    <row r="1114">
      <c r="A1114" s="2" t="n">
        <v>46039</v>
      </c>
      <c r="B1114" s="3" t="n">
        <v>2026</v>
      </c>
      <c r="C1114" s="3" t="n">
        <v>1</v>
      </c>
      <c r="D1114" s="3" t="n">
        <v>3</v>
      </c>
      <c r="E1114" s="3" t="inlineStr">
        <is>
          <t>S26-03</t>
        </is>
      </c>
    </row>
    <row r="1115">
      <c r="A1115" s="2" t="n">
        <v>46040</v>
      </c>
      <c r="B1115" s="3" t="n">
        <v>2026</v>
      </c>
      <c r="C1115" s="3" t="n">
        <v>1</v>
      </c>
      <c r="D1115" s="3" t="n">
        <v>3</v>
      </c>
      <c r="E1115" s="3" t="inlineStr">
        <is>
          <t>S26-03</t>
        </is>
      </c>
    </row>
    <row r="1116">
      <c r="A1116" s="2" t="n">
        <v>46041</v>
      </c>
      <c r="B1116" s="3" t="n">
        <v>2026</v>
      </c>
      <c r="C1116" s="3" t="n">
        <v>1</v>
      </c>
      <c r="D1116" s="3" t="n">
        <v>4</v>
      </c>
      <c r="E1116" s="3" t="inlineStr">
        <is>
          <t>S26-04</t>
        </is>
      </c>
    </row>
    <row r="1117">
      <c r="A1117" s="2" t="n">
        <v>46042</v>
      </c>
      <c r="B1117" s="3" t="n">
        <v>2026</v>
      </c>
      <c r="C1117" s="3" t="n">
        <v>1</v>
      </c>
      <c r="D1117" s="3" t="n">
        <v>4</v>
      </c>
      <c r="E1117" s="3" t="inlineStr">
        <is>
          <t>S26-04</t>
        </is>
      </c>
    </row>
    <row r="1118">
      <c r="A1118" s="2" t="n">
        <v>46043</v>
      </c>
      <c r="B1118" s="3" t="n">
        <v>2026</v>
      </c>
      <c r="C1118" s="3" t="n">
        <v>1</v>
      </c>
      <c r="D1118" s="3" t="n">
        <v>4</v>
      </c>
      <c r="E1118" s="3" t="inlineStr">
        <is>
          <t>S26-04</t>
        </is>
      </c>
    </row>
    <row r="1119">
      <c r="A1119" s="2" t="n">
        <v>46044</v>
      </c>
      <c r="B1119" s="3" t="n">
        <v>2026</v>
      </c>
      <c r="C1119" s="3" t="n">
        <v>1</v>
      </c>
      <c r="D1119" s="3" t="n">
        <v>4</v>
      </c>
      <c r="E1119" s="3" t="inlineStr">
        <is>
          <t>S26-04</t>
        </is>
      </c>
    </row>
    <row r="1120">
      <c r="A1120" s="2" t="n">
        <v>46045</v>
      </c>
      <c r="B1120" s="3" t="n">
        <v>2026</v>
      </c>
      <c r="C1120" s="3" t="n">
        <v>1</v>
      </c>
      <c r="D1120" s="3" t="n">
        <v>4</v>
      </c>
      <c r="E1120" s="3" t="inlineStr">
        <is>
          <t>S26-04</t>
        </is>
      </c>
    </row>
    <row r="1121">
      <c r="A1121" s="2" t="n">
        <v>46046</v>
      </c>
      <c r="B1121" s="3" t="n">
        <v>2026</v>
      </c>
      <c r="C1121" s="3" t="n">
        <v>1</v>
      </c>
      <c r="D1121" s="3" t="n">
        <v>4</v>
      </c>
      <c r="E1121" s="3" t="inlineStr">
        <is>
          <t>S26-04</t>
        </is>
      </c>
    </row>
    <row r="1122">
      <c r="A1122" s="2" t="n">
        <v>46047</v>
      </c>
      <c r="B1122" s="3" t="n">
        <v>2026</v>
      </c>
      <c r="C1122" s="3" t="n">
        <v>1</v>
      </c>
      <c r="D1122" s="3" t="n">
        <v>4</v>
      </c>
      <c r="E1122" s="3" t="inlineStr">
        <is>
          <t>S26-04</t>
        </is>
      </c>
    </row>
    <row r="1123">
      <c r="A1123" s="2" t="n">
        <v>46048</v>
      </c>
      <c r="B1123" s="3" t="n">
        <v>2026</v>
      </c>
      <c r="C1123" s="3" t="n">
        <v>1</v>
      </c>
      <c r="D1123" s="3" t="n">
        <v>5</v>
      </c>
      <c r="E1123" s="3" t="inlineStr">
        <is>
          <t>S26-05</t>
        </is>
      </c>
    </row>
    <row r="1124">
      <c r="A1124" s="2" t="n">
        <v>46049</v>
      </c>
      <c r="B1124" s="3" t="n">
        <v>2026</v>
      </c>
      <c r="C1124" s="3" t="n">
        <v>1</v>
      </c>
      <c r="D1124" s="3" t="n">
        <v>5</v>
      </c>
      <c r="E1124" s="3" t="inlineStr">
        <is>
          <t>S26-05</t>
        </is>
      </c>
    </row>
    <row r="1125">
      <c r="A1125" s="2" t="n">
        <v>46050</v>
      </c>
      <c r="B1125" s="3" t="n">
        <v>2026</v>
      </c>
      <c r="C1125" s="3" t="n">
        <v>1</v>
      </c>
      <c r="D1125" s="3" t="n">
        <v>5</v>
      </c>
      <c r="E1125" s="3" t="inlineStr">
        <is>
          <t>S26-05</t>
        </is>
      </c>
    </row>
    <row r="1126">
      <c r="A1126" s="2" t="n">
        <v>46051</v>
      </c>
      <c r="B1126" s="3" t="n">
        <v>2026</v>
      </c>
      <c r="C1126" s="3" t="n">
        <v>1</v>
      </c>
      <c r="D1126" s="3" t="n">
        <v>5</v>
      </c>
      <c r="E1126" s="3" t="inlineStr">
        <is>
          <t>S26-05</t>
        </is>
      </c>
    </row>
    <row r="1127">
      <c r="A1127" s="2" t="n">
        <v>46052</v>
      </c>
      <c r="B1127" s="3" t="n">
        <v>2026</v>
      </c>
      <c r="C1127" s="3" t="n">
        <v>1</v>
      </c>
      <c r="D1127" s="3" t="n">
        <v>5</v>
      </c>
      <c r="E1127" s="3" t="inlineStr">
        <is>
          <t>S26-05</t>
        </is>
      </c>
    </row>
    <row r="1128">
      <c r="A1128" s="2" t="n">
        <v>46053</v>
      </c>
      <c r="B1128" s="3" t="n">
        <v>2026</v>
      </c>
      <c r="C1128" s="3" t="n">
        <v>1</v>
      </c>
      <c r="D1128" s="3" t="n">
        <v>5</v>
      </c>
      <c r="E1128" s="3" t="inlineStr">
        <is>
          <t>S26-05</t>
        </is>
      </c>
    </row>
    <row r="1129">
      <c r="A1129" s="2" t="n">
        <v>46054</v>
      </c>
      <c r="B1129" s="3" t="n">
        <v>2026</v>
      </c>
      <c r="C1129" s="3" t="n">
        <v>2</v>
      </c>
      <c r="D1129" s="3" t="n">
        <v>5</v>
      </c>
      <c r="E1129" s="3" t="inlineStr">
        <is>
          <t>S26-05</t>
        </is>
      </c>
    </row>
    <row r="1130">
      <c r="A1130" s="2" t="n">
        <v>46055</v>
      </c>
      <c r="B1130" s="3" t="n">
        <v>2026</v>
      </c>
      <c r="C1130" s="3" t="n">
        <v>2</v>
      </c>
      <c r="D1130" s="3" t="n">
        <v>6</v>
      </c>
      <c r="E1130" s="3" t="inlineStr">
        <is>
          <t>S26-06</t>
        </is>
      </c>
    </row>
    <row r="1131">
      <c r="A1131" s="2" t="n">
        <v>46056</v>
      </c>
      <c r="B1131" s="3" t="n">
        <v>2026</v>
      </c>
      <c r="C1131" s="3" t="n">
        <v>2</v>
      </c>
      <c r="D1131" s="3" t="n">
        <v>6</v>
      </c>
      <c r="E1131" s="3" t="inlineStr">
        <is>
          <t>S26-06</t>
        </is>
      </c>
    </row>
    <row r="1132">
      <c r="A1132" s="2" t="n">
        <v>46057</v>
      </c>
      <c r="B1132" s="3" t="n">
        <v>2026</v>
      </c>
      <c r="C1132" s="3" t="n">
        <v>2</v>
      </c>
      <c r="D1132" s="3" t="n">
        <v>6</v>
      </c>
      <c r="E1132" s="3" t="inlineStr">
        <is>
          <t>S26-06</t>
        </is>
      </c>
    </row>
    <row r="1133">
      <c r="A1133" s="2" t="n">
        <v>46058</v>
      </c>
      <c r="B1133" s="3" t="n">
        <v>2026</v>
      </c>
      <c r="C1133" s="3" t="n">
        <v>2</v>
      </c>
      <c r="D1133" s="3" t="n">
        <v>6</v>
      </c>
      <c r="E1133" s="3" t="inlineStr">
        <is>
          <t>S26-06</t>
        </is>
      </c>
    </row>
    <row r="1134">
      <c r="A1134" s="2" t="n">
        <v>46059</v>
      </c>
      <c r="B1134" s="3" t="n">
        <v>2026</v>
      </c>
      <c r="C1134" s="3" t="n">
        <v>2</v>
      </c>
      <c r="D1134" s="3" t="n">
        <v>6</v>
      </c>
      <c r="E1134" s="3" t="inlineStr">
        <is>
          <t>S26-06</t>
        </is>
      </c>
    </row>
    <row r="1135">
      <c r="A1135" s="2" t="n">
        <v>46060</v>
      </c>
      <c r="B1135" s="3" t="n">
        <v>2026</v>
      </c>
      <c r="C1135" s="3" t="n">
        <v>2</v>
      </c>
      <c r="D1135" s="3" t="n">
        <v>6</v>
      </c>
      <c r="E1135" s="3" t="inlineStr">
        <is>
          <t>S26-06</t>
        </is>
      </c>
    </row>
    <row r="1136">
      <c r="A1136" s="2" t="n">
        <v>46061</v>
      </c>
      <c r="B1136" s="3" t="n">
        <v>2026</v>
      </c>
      <c r="C1136" s="3" t="n">
        <v>2</v>
      </c>
      <c r="D1136" s="3" t="n">
        <v>6</v>
      </c>
      <c r="E1136" s="3" t="inlineStr">
        <is>
          <t>S26-06</t>
        </is>
      </c>
    </row>
    <row r="1137">
      <c r="A1137" s="2" t="n">
        <v>46062</v>
      </c>
      <c r="B1137" s="3" t="n">
        <v>2026</v>
      </c>
      <c r="C1137" s="3" t="n">
        <v>2</v>
      </c>
      <c r="D1137" s="3" t="n">
        <v>7</v>
      </c>
      <c r="E1137" s="3" t="inlineStr">
        <is>
          <t>S26-07</t>
        </is>
      </c>
    </row>
    <row r="1138">
      <c r="A1138" s="2" t="n">
        <v>46063</v>
      </c>
      <c r="B1138" s="3" t="n">
        <v>2026</v>
      </c>
      <c r="C1138" s="3" t="n">
        <v>2</v>
      </c>
      <c r="D1138" s="3" t="n">
        <v>7</v>
      </c>
      <c r="E1138" s="3" t="inlineStr">
        <is>
          <t>S26-07</t>
        </is>
      </c>
    </row>
    <row r="1139">
      <c r="A1139" s="2" t="n">
        <v>46064</v>
      </c>
      <c r="B1139" s="3" t="n">
        <v>2026</v>
      </c>
      <c r="C1139" s="3" t="n">
        <v>2</v>
      </c>
      <c r="D1139" s="3" t="n">
        <v>7</v>
      </c>
      <c r="E1139" s="3" t="inlineStr">
        <is>
          <t>S26-07</t>
        </is>
      </c>
    </row>
    <row r="1140">
      <c r="A1140" s="2" t="n">
        <v>46065</v>
      </c>
      <c r="B1140" s="3" t="n">
        <v>2026</v>
      </c>
      <c r="C1140" s="3" t="n">
        <v>2</v>
      </c>
      <c r="D1140" s="3" t="n">
        <v>7</v>
      </c>
      <c r="E1140" s="3" t="inlineStr">
        <is>
          <t>S26-07</t>
        </is>
      </c>
    </row>
    <row r="1141">
      <c r="A1141" s="2" t="n">
        <v>46066</v>
      </c>
      <c r="B1141" s="3" t="n">
        <v>2026</v>
      </c>
      <c r="C1141" s="3" t="n">
        <v>2</v>
      </c>
      <c r="D1141" s="3" t="n">
        <v>7</v>
      </c>
      <c r="E1141" s="3" t="inlineStr">
        <is>
          <t>S26-07</t>
        </is>
      </c>
    </row>
    <row r="1142">
      <c r="A1142" s="2" t="n">
        <v>46067</v>
      </c>
      <c r="B1142" s="3" t="n">
        <v>2026</v>
      </c>
      <c r="C1142" s="3" t="n">
        <v>2</v>
      </c>
      <c r="D1142" s="3" t="n">
        <v>7</v>
      </c>
      <c r="E1142" s="3" t="inlineStr">
        <is>
          <t>S26-07</t>
        </is>
      </c>
    </row>
    <row r="1143">
      <c r="A1143" s="2" t="n">
        <v>46068</v>
      </c>
      <c r="B1143" s="3" t="n">
        <v>2026</v>
      </c>
      <c r="C1143" s="3" t="n">
        <v>2</v>
      </c>
      <c r="D1143" s="3" t="n">
        <v>7</v>
      </c>
      <c r="E1143" s="3" t="inlineStr">
        <is>
          <t>S26-07</t>
        </is>
      </c>
    </row>
    <row r="1144">
      <c r="A1144" s="2" t="n">
        <v>46069</v>
      </c>
      <c r="B1144" s="3" t="n">
        <v>2026</v>
      </c>
      <c r="C1144" s="3" t="n">
        <v>2</v>
      </c>
      <c r="D1144" s="3" t="n">
        <v>8</v>
      </c>
      <c r="E1144" s="3" t="inlineStr">
        <is>
          <t>S26-08</t>
        </is>
      </c>
    </row>
    <row r="1145">
      <c r="A1145" s="2" t="n">
        <v>46070</v>
      </c>
      <c r="B1145" s="3" t="n">
        <v>2026</v>
      </c>
      <c r="C1145" s="3" t="n">
        <v>2</v>
      </c>
      <c r="D1145" s="3" t="n">
        <v>8</v>
      </c>
      <c r="E1145" s="3" t="inlineStr">
        <is>
          <t>S26-08</t>
        </is>
      </c>
    </row>
    <row r="1146">
      <c r="A1146" s="2" t="n">
        <v>46071</v>
      </c>
      <c r="B1146" s="3" t="n">
        <v>2026</v>
      </c>
      <c r="C1146" s="3" t="n">
        <v>2</v>
      </c>
      <c r="D1146" s="3" t="n">
        <v>8</v>
      </c>
      <c r="E1146" s="3" t="inlineStr">
        <is>
          <t>S26-08</t>
        </is>
      </c>
    </row>
    <row r="1147">
      <c r="A1147" s="2" t="n">
        <v>46072</v>
      </c>
      <c r="B1147" s="3" t="n">
        <v>2026</v>
      </c>
      <c r="C1147" s="3" t="n">
        <v>2</v>
      </c>
      <c r="D1147" s="3" t="n">
        <v>8</v>
      </c>
      <c r="E1147" s="3" t="inlineStr">
        <is>
          <t>S26-08</t>
        </is>
      </c>
    </row>
    <row r="1148">
      <c r="A1148" s="2" t="n">
        <v>46073</v>
      </c>
      <c r="B1148" s="3" t="n">
        <v>2026</v>
      </c>
      <c r="C1148" s="3" t="n">
        <v>2</v>
      </c>
      <c r="D1148" s="3" t="n">
        <v>8</v>
      </c>
      <c r="E1148" s="3" t="inlineStr">
        <is>
          <t>S26-08</t>
        </is>
      </c>
    </row>
    <row r="1149">
      <c r="A1149" s="2" t="n">
        <v>46074</v>
      </c>
      <c r="B1149" s="3" t="n">
        <v>2026</v>
      </c>
      <c r="C1149" s="3" t="n">
        <v>2</v>
      </c>
      <c r="D1149" s="3" t="n">
        <v>8</v>
      </c>
      <c r="E1149" s="3" t="inlineStr">
        <is>
          <t>S26-08</t>
        </is>
      </c>
    </row>
    <row r="1150">
      <c r="A1150" s="2" t="n">
        <v>46075</v>
      </c>
      <c r="B1150" s="3" t="n">
        <v>2026</v>
      </c>
      <c r="C1150" s="3" t="n">
        <v>2</v>
      </c>
      <c r="D1150" s="3" t="n">
        <v>8</v>
      </c>
      <c r="E1150" s="3" t="inlineStr">
        <is>
          <t>S26-08</t>
        </is>
      </c>
    </row>
    <row r="1151">
      <c r="A1151" s="2" t="n">
        <v>46076</v>
      </c>
      <c r="B1151" s="3" t="n">
        <v>2026</v>
      </c>
      <c r="C1151" s="3" t="n">
        <v>2</v>
      </c>
      <c r="D1151" s="3" t="n">
        <v>9</v>
      </c>
      <c r="E1151" s="3" t="inlineStr">
        <is>
          <t>S26-09</t>
        </is>
      </c>
    </row>
    <row r="1152">
      <c r="A1152" s="2" t="n">
        <v>46077</v>
      </c>
      <c r="B1152" s="3" t="n">
        <v>2026</v>
      </c>
      <c r="C1152" s="3" t="n">
        <v>2</v>
      </c>
      <c r="D1152" s="3" t="n">
        <v>9</v>
      </c>
      <c r="E1152" s="3" t="inlineStr">
        <is>
          <t>S26-09</t>
        </is>
      </c>
    </row>
    <row r="1153">
      <c r="A1153" s="2" t="n">
        <v>46078</v>
      </c>
      <c r="B1153" s="3" t="n">
        <v>2026</v>
      </c>
      <c r="C1153" s="3" t="n">
        <v>2</v>
      </c>
      <c r="D1153" s="3" t="n">
        <v>9</v>
      </c>
      <c r="E1153" s="3" t="inlineStr">
        <is>
          <t>S26-09</t>
        </is>
      </c>
    </row>
    <row r="1154">
      <c r="A1154" s="2" t="n">
        <v>46079</v>
      </c>
      <c r="B1154" s="3" t="n">
        <v>2026</v>
      </c>
      <c r="C1154" s="3" t="n">
        <v>2</v>
      </c>
      <c r="D1154" s="3" t="n">
        <v>9</v>
      </c>
      <c r="E1154" s="3" t="inlineStr">
        <is>
          <t>S26-09</t>
        </is>
      </c>
    </row>
    <row r="1155">
      <c r="A1155" s="2" t="n">
        <v>46080</v>
      </c>
      <c r="B1155" s="3" t="n">
        <v>2026</v>
      </c>
      <c r="C1155" s="3" t="n">
        <v>2</v>
      </c>
      <c r="D1155" s="3" t="n">
        <v>9</v>
      </c>
      <c r="E1155" s="3" t="inlineStr">
        <is>
          <t>S26-09</t>
        </is>
      </c>
    </row>
    <row r="1156">
      <c r="A1156" s="2" t="n">
        <v>46081</v>
      </c>
      <c r="B1156" s="3" t="n">
        <v>2026</v>
      </c>
      <c r="C1156" s="3" t="n">
        <v>2</v>
      </c>
      <c r="D1156" s="3" t="n">
        <v>9</v>
      </c>
      <c r="E1156" s="3" t="inlineStr">
        <is>
          <t>S26-09</t>
        </is>
      </c>
    </row>
    <row r="1157">
      <c r="A1157" s="2" t="n">
        <v>46082</v>
      </c>
      <c r="B1157" s="3" t="n">
        <v>2026</v>
      </c>
      <c r="C1157" s="3" t="n">
        <v>3</v>
      </c>
      <c r="D1157" s="3" t="n">
        <v>9</v>
      </c>
      <c r="E1157" s="3" t="inlineStr">
        <is>
          <t>S26-09</t>
        </is>
      </c>
    </row>
    <row r="1158">
      <c r="A1158" s="2" t="n">
        <v>46083</v>
      </c>
      <c r="B1158" s="3" t="n">
        <v>2026</v>
      </c>
      <c r="C1158" s="3" t="n">
        <v>3</v>
      </c>
      <c r="D1158" s="3" t="n">
        <v>10</v>
      </c>
      <c r="E1158" s="3" t="inlineStr">
        <is>
          <t>S26-10</t>
        </is>
      </c>
    </row>
    <row r="1159">
      <c r="A1159" s="2" t="n">
        <v>46084</v>
      </c>
      <c r="B1159" s="3" t="n">
        <v>2026</v>
      </c>
      <c r="C1159" s="3" t="n">
        <v>3</v>
      </c>
      <c r="D1159" s="3" t="n">
        <v>10</v>
      </c>
      <c r="E1159" s="3" t="inlineStr">
        <is>
          <t>S26-10</t>
        </is>
      </c>
    </row>
    <row r="1160">
      <c r="A1160" s="2" t="n">
        <v>46085</v>
      </c>
      <c r="B1160" s="3" t="n">
        <v>2026</v>
      </c>
      <c r="C1160" s="3" t="n">
        <v>3</v>
      </c>
      <c r="D1160" s="3" t="n">
        <v>10</v>
      </c>
      <c r="E1160" s="3" t="inlineStr">
        <is>
          <t>S26-10</t>
        </is>
      </c>
    </row>
    <row r="1161">
      <c r="A1161" s="2" t="n">
        <v>46086</v>
      </c>
      <c r="B1161" s="3" t="n">
        <v>2026</v>
      </c>
      <c r="C1161" s="3" t="n">
        <v>3</v>
      </c>
      <c r="D1161" s="3" t="n">
        <v>10</v>
      </c>
      <c r="E1161" s="3" t="inlineStr">
        <is>
          <t>S26-10</t>
        </is>
      </c>
    </row>
    <row r="1162">
      <c r="A1162" s="2" t="n">
        <v>46087</v>
      </c>
      <c r="B1162" s="3" t="n">
        <v>2026</v>
      </c>
      <c r="C1162" s="3" t="n">
        <v>3</v>
      </c>
      <c r="D1162" s="3" t="n">
        <v>10</v>
      </c>
      <c r="E1162" s="3" t="inlineStr">
        <is>
          <t>S26-10</t>
        </is>
      </c>
    </row>
    <row r="1163">
      <c r="A1163" s="2" t="n">
        <v>46088</v>
      </c>
      <c r="B1163" s="3" t="n">
        <v>2026</v>
      </c>
      <c r="C1163" s="3" t="n">
        <v>3</v>
      </c>
      <c r="D1163" s="3" t="n">
        <v>10</v>
      </c>
      <c r="E1163" s="3" t="inlineStr">
        <is>
          <t>S26-10</t>
        </is>
      </c>
    </row>
    <row r="1164">
      <c r="A1164" s="2" t="n">
        <v>46089</v>
      </c>
      <c r="B1164" s="3" t="n">
        <v>2026</v>
      </c>
      <c r="C1164" s="3" t="n">
        <v>3</v>
      </c>
      <c r="D1164" s="3" t="n">
        <v>10</v>
      </c>
      <c r="E1164" s="3" t="inlineStr">
        <is>
          <t>S26-10</t>
        </is>
      </c>
    </row>
    <row r="1165">
      <c r="A1165" s="2" t="n">
        <v>46090</v>
      </c>
      <c r="B1165" s="3" t="n">
        <v>2026</v>
      </c>
      <c r="C1165" s="3" t="n">
        <v>3</v>
      </c>
      <c r="D1165" s="3" t="n">
        <v>11</v>
      </c>
      <c r="E1165" s="3" t="inlineStr">
        <is>
          <t>S26-11</t>
        </is>
      </c>
    </row>
    <row r="1166">
      <c r="A1166" s="2" t="n">
        <v>46091</v>
      </c>
      <c r="B1166" s="3" t="n">
        <v>2026</v>
      </c>
      <c r="C1166" s="3" t="n">
        <v>3</v>
      </c>
      <c r="D1166" s="3" t="n">
        <v>11</v>
      </c>
      <c r="E1166" s="3" t="inlineStr">
        <is>
          <t>S26-11</t>
        </is>
      </c>
    </row>
    <row r="1167">
      <c r="A1167" s="2" t="n">
        <v>46092</v>
      </c>
      <c r="B1167" s="3" t="n">
        <v>2026</v>
      </c>
      <c r="C1167" s="3" t="n">
        <v>3</v>
      </c>
      <c r="D1167" s="3" t="n">
        <v>11</v>
      </c>
      <c r="E1167" s="3" t="inlineStr">
        <is>
          <t>S26-11</t>
        </is>
      </c>
    </row>
    <row r="1168">
      <c r="A1168" s="2" t="n">
        <v>46093</v>
      </c>
      <c r="B1168" s="3" t="n">
        <v>2026</v>
      </c>
      <c r="C1168" s="3" t="n">
        <v>3</v>
      </c>
      <c r="D1168" s="3" t="n">
        <v>11</v>
      </c>
      <c r="E1168" s="3" t="inlineStr">
        <is>
          <t>S26-11</t>
        </is>
      </c>
    </row>
    <row r="1169">
      <c r="A1169" s="2" t="n">
        <v>46094</v>
      </c>
      <c r="B1169" s="3" t="n">
        <v>2026</v>
      </c>
      <c r="C1169" s="3" t="n">
        <v>3</v>
      </c>
      <c r="D1169" s="3" t="n">
        <v>11</v>
      </c>
      <c r="E1169" s="3" t="inlineStr">
        <is>
          <t>S26-11</t>
        </is>
      </c>
    </row>
    <row r="1170">
      <c r="A1170" s="2" t="n">
        <v>46095</v>
      </c>
      <c r="B1170" s="3" t="n">
        <v>2026</v>
      </c>
      <c r="C1170" s="3" t="n">
        <v>3</v>
      </c>
      <c r="D1170" s="3" t="n">
        <v>11</v>
      </c>
      <c r="E1170" s="3" t="inlineStr">
        <is>
          <t>S26-11</t>
        </is>
      </c>
    </row>
    <row r="1171">
      <c r="A1171" s="2" t="n">
        <v>46096</v>
      </c>
      <c r="B1171" s="3" t="n">
        <v>2026</v>
      </c>
      <c r="C1171" s="3" t="n">
        <v>3</v>
      </c>
      <c r="D1171" s="3" t="n">
        <v>11</v>
      </c>
      <c r="E1171" s="3" t="inlineStr">
        <is>
          <t>S26-11</t>
        </is>
      </c>
    </row>
    <row r="1172">
      <c r="A1172" s="2" t="n">
        <v>46097</v>
      </c>
      <c r="B1172" s="3" t="n">
        <v>2026</v>
      </c>
      <c r="C1172" s="3" t="n">
        <v>3</v>
      </c>
      <c r="D1172" s="3" t="n">
        <v>12</v>
      </c>
      <c r="E1172" s="3" t="inlineStr">
        <is>
          <t>S26-12</t>
        </is>
      </c>
    </row>
    <row r="1173">
      <c r="A1173" s="2" t="n">
        <v>46098</v>
      </c>
      <c r="B1173" s="3" t="n">
        <v>2026</v>
      </c>
      <c r="C1173" s="3" t="n">
        <v>3</v>
      </c>
      <c r="D1173" s="3" t="n">
        <v>12</v>
      </c>
      <c r="E1173" s="3" t="inlineStr">
        <is>
          <t>S26-12</t>
        </is>
      </c>
    </row>
    <row r="1174">
      <c r="A1174" s="2" t="n">
        <v>46099</v>
      </c>
      <c r="B1174" s="3" t="n">
        <v>2026</v>
      </c>
      <c r="C1174" s="3" t="n">
        <v>3</v>
      </c>
      <c r="D1174" s="3" t="n">
        <v>12</v>
      </c>
      <c r="E1174" s="3" t="inlineStr">
        <is>
          <t>S26-12</t>
        </is>
      </c>
    </row>
    <row r="1175">
      <c r="A1175" s="2" t="n">
        <v>46100</v>
      </c>
      <c r="B1175" s="3" t="n">
        <v>2026</v>
      </c>
      <c r="C1175" s="3" t="n">
        <v>3</v>
      </c>
      <c r="D1175" s="3" t="n">
        <v>12</v>
      </c>
      <c r="E1175" s="3" t="inlineStr">
        <is>
          <t>S26-12</t>
        </is>
      </c>
    </row>
    <row r="1176">
      <c r="A1176" s="2" t="n">
        <v>46101</v>
      </c>
      <c r="B1176" s="3" t="n">
        <v>2026</v>
      </c>
      <c r="C1176" s="3" t="n">
        <v>3</v>
      </c>
      <c r="D1176" s="3" t="n">
        <v>12</v>
      </c>
      <c r="E1176" s="3" t="inlineStr">
        <is>
          <t>S26-12</t>
        </is>
      </c>
    </row>
    <row r="1177">
      <c r="A1177" s="2" t="n">
        <v>46102</v>
      </c>
      <c r="B1177" s="3" t="n">
        <v>2026</v>
      </c>
      <c r="C1177" s="3" t="n">
        <v>3</v>
      </c>
      <c r="D1177" s="3" t="n">
        <v>12</v>
      </c>
      <c r="E1177" s="3" t="inlineStr">
        <is>
          <t>S26-12</t>
        </is>
      </c>
    </row>
    <row r="1178">
      <c r="A1178" s="2" t="n">
        <v>46103</v>
      </c>
      <c r="B1178" s="3" t="n">
        <v>2026</v>
      </c>
      <c r="C1178" s="3" t="n">
        <v>3</v>
      </c>
      <c r="D1178" s="3" t="n">
        <v>12</v>
      </c>
      <c r="E1178" s="3" t="inlineStr">
        <is>
          <t>S26-12</t>
        </is>
      </c>
    </row>
    <row r="1179">
      <c r="A1179" s="2" t="n">
        <v>46104</v>
      </c>
      <c r="B1179" s="3" t="n">
        <v>2026</v>
      </c>
      <c r="C1179" s="3" t="n">
        <v>3</v>
      </c>
      <c r="D1179" s="3" t="n">
        <v>13</v>
      </c>
      <c r="E1179" s="3" t="inlineStr">
        <is>
          <t>S26-13</t>
        </is>
      </c>
    </row>
    <row r="1180">
      <c r="A1180" s="2" t="n">
        <v>46105</v>
      </c>
      <c r="B1180" s="3" t="n">
        <v>2026</v>
      </c>
      <c r="C1180" s="3" t="n">
        <v>3</v>
      </c>
      <c r="D1180" s="3" t="n">
        <v>13</v>
      </c>
      <c r="E1180" s="3" t="inlineStr">
        <is>
          <t>S26-13</t>
        </is>
      </c>
    </row>
    <row r="1181">
      <c r="A1181" s="2" t="n">
        <v>46106</v>
      </c>
      <c r="B1181" s="3" t="n">
        <v>2026</v>
      </c>
      <c r="C1181" s="3" t="n">
        <v>3</v>
      </c>
      <c r="D1181" s="3" t="n">
        <v>13</v>
      </c>
      <c r="E1181" s="3" t="inlineStr">
        <is>
          <t>S26-13</t>
        </is>
      </c>
    </row>
    <row r="1182">
      <c r="A1182" s="2" t="n">
        <v>46107</v>
      </c>
      <c r="B1182" s="3" t="n">
        <v>2026</v>
      </c>
      <c r="C1182" s="3" t="n">
        <v>3</v>
      </c>
      <c r="D1182" s="3" t="n">
        <v>13</v>
      </c>
      <c r="E1182" s="3" t="inlineStr">
        <is>
          <t>S26-13</t>
        </is>
      </c>
    </row>
    <row r="1183">
      <c r="A1183" s="2" t="n">
        <v>46108</v>
      </c>
      <c r="B1183" s="3" t="n">
        <v>2026</v>
      </c>
      <c r="C1183" s="3" t="n">
        <v>3</v>
      </c>
      <c r="D1183" s="3" t="n">
        <v>13</v>
      </c>
      <c r="E1183" s="3" t="inlineStr">
        <is>
          <t>S26-13</t>
        </is>
      </c>
    </row>
    <row r="1184">
      <c r="A1184" s="2" t="n">
        <v>46109</v>
      </c>
      <c r="B1184" s="3" t="n">
        <v>2026</v>
      </c>
      <c r="C1184" s="3" t="n">
        <v>3</v>
      </c>
      <c r="D1184" s="3" t="n">
        <v>13</v>
      </c>
      <c r="E1184" s="3" t="inlineStr">
        <is>
          <t>S26-13</t>
        </is>
      </c>
    </row>
    <row r="1185">
      <c r="A1185" s="2" t="n">
        <v>46110</v>
      </c>
      <c r="B1185" s="3" t="n">
        <v>2026</v>
      </c>
      <c r="C1185" s="3" t="n">
        <v>3</v>
      </c>
      <c r="D1185" s="3" t="n">
        <v>13</v>
      </c>
      <c r="E1185" s="3" t="inlineStr">
        <is>
          <t>S26-13</t>
        </is>
      </c>
    </row>
    <row r="1186">
      <c r="A1186" s="2" t="n">
        <v>46111</v>
      </c>
      <c r="B1186" s="3" t="n">
        <v>2026</v>
      </c>
      <c r="C1186" s="3" t="n">
        <v>3</v>
      </c>
      <c r="D1186" s="3" t="n">
        <v>14</v>
      </c>
      <c r="E1186" s="3" t="inlineStr">
        <is>
          <t>S26-14</t>
        </is>
      </c>
    </row>
    <row r="1187">
      <c r="A1187" s="2" t="n">
        <v>46112</v>
      </c>
      <c r="B1187" s="3" t="n">
        <v>2026</v>
      </c>
      <c r="C1187" s="3" t="n">
        <v>3</v>
      </c>
      <c r="D1187" s="3" t="n">
        <v>14</v>
      </c>
      <c r="E1187" s="3" t="inlineStr">
        <is>
          <t>S26-14</t>
        </is>
      </c>
    </row>
    <row r="1188">
      <c r="A1188" s="2" t="n">
        <v>46113</v>
      </c>
      <c r="B1188" s="3" t="n">
        <v>2026</v>
      </c>
      <c r="C1188" s="3" t="n">
        <v>4</v>
      </c>
      <c r="D1188" s="3" t="n">
        <v>14</v>
      </c>
      <c r="E1188" s="3" t="inlineStr">
        <is>
          <t>S26-14</t>
        </is>
      </c>
    </row>
    <row r="1189">
      <c r="A1189" s="2" t="n">
        <v>46114</v>
      </c>
      <c r="B1189" s="3" t="n">
        <v>2026</v>
      </c>
      <c r="C1189" s="3" t="n">
        <v>4</v>
      </c>
      <c r="D1189" s="3" t="n">
        <v>14</v>
      </c>
      <c r="E1189" s="3" t="inlineStr">
        <is>
          <t>S26-14</t>
        </is>
      </c>
    </row>
    <row r="1190">
      <c r="A1190" s="2" t="n">
        <v>46115</v>
      </c>
      <c r="B1190" s="3" t="n">
        <v>2026</v>
      </c>
      <c r="C1190" s="3" t="n">
        <v>4</v>
      </c>
      <c r="D1190" s="3" t="n">
        <v>14</v>
      </c>
      <c r="E1190" s="3" t="inlineStr">
        <is>
          <t>S26-14</t>
        </is>
      </c>
    </row>
    <row r="1191">
      <c r="A1191" s="2" t="n">
        <v>46116</v>
      </c>
      <c r="B1191" s="3" t="n">
        <v>2026</v>
      </c>
      <c r="C1191" s="3" t="n">
        <v>4</v>
      </c>
      <c r="D1191" s="3" t="n">
        <v>14</v>
      </c>
      <c r="E1191" s="3" t="inlineStr">
        <is>
          <t>S26-14</t>
        </is>
      </c>
    </row>
    <row r="1192">
      <c r="A1192" s="2" t="n">
        <v>46117</v>
      </c>
      <c r="B1192" s="3" t="n">
        <v>2026</v>
      </c>
      <c r="C1192" s="3" t="n">
        <v>4</v>
      </c>
      <c r="D1192" s="3" t="n">
        <v>14</v>
      </c>
      <c r="E1192" s="3" t="inlineStr">
        <is>
          <t>S26-14</t>
        </is>
      </c>
    </row>
    <row r="1193">
      <c r="A1193" s="2" t="n">
        <v>46118</v>
      </c>
      <c r="B1193" s="3" t="n">
        <v>2026</v>
      </c>
      <c r="C1193" s="3" t="n">
        <v>4</v>
      </c>
      <c r="D1193" s="3" t="n">
        <v>15</v>
      </c>
      <c r="E1193" s="3" t="inlineStr">
        <is>
          <t>S26-15</t>
        </is>
      </c>
    </row>
    <row r="1194">
      <c r="A1194" s="2" t="n">
        <v>46119</v>
      </c>
      <c r="B1194" s="3" t="n">
        <v>2026</v>
      </c>
      <c r="C1194" s="3" t="n">
        <v>4</v>
      </c>
      <c r="D1194" s="3" t="n">
        <v>15</v>
      </c>
      <c r="E1194" s="3" t="inlineStr">
        <is>
          <t>S26-15</t>
        </is>
      </c>
    </row>
    <row r="1195">
      <c r="A1195" s="2" t="n">
        <v>46120</v>
      </c>
      <c r="B1195" s="3" t="n">
        <v>2026</v>
      </c>
      <c r="C1195" s="3" t="n">
        <v>4</v>
      </c>
      <c r="D1195" s="3" t="n">
        <v>15</v>
      </c>
      <c r="E1195" s="3" t="inlineStr">
        <is>
          <t>S26-15</t>
        </is>
      </c>
    </row>
    <row r="1196">
      <c r="A1196" s="2" t="n">
        <v>46121</v>
      </c>
      <c r="B1196" s="3" t="n">
        <v>2026</v>
      </c>
      <c r="C1196" s="3" t="n">
        <v>4</v>
      </c>
      <c r="D1196" s="3" t="n">
        <v>15</v>
      </c>
      <c r="E1196" s="3" t="inlineStr">
        <is>
          <t>S26-15</t>
        </is>
      </c>
    </row>
    <row r="1197">
      <c r="A1197" s="2" t="n">
        <v>46122</v>
      </c>
      <c r="B1197" s="3" t="n">
        <v>2026</v>
      </c>
      <c r="C1197" s="3" t="n">
        <v>4</v>
      </c>
      <c r="D1197" s="3" t="n">
        <v>15</v>
      </c>
      <c r="E1197" s="3" t="inlineStr">
        <is>
          <t>S26-15</t>
        </is>
      </c>
    </row>
    <row r="1198">
      <c r="A1198" s="2" t="n">
        <v>46123</v>
      </c>
      <c r="B1198" s="3" t="n">
        <v>2026</v>
      </c>
      <c r="C1198" s="3" t="n">
        <v>4</v>
      </c>
      <c r="D1198" s="3" t="n">
        <v>15</v>
      </c>
      <c r="E1198" s="3" t="inlineStr">
        <is>
          <t>S26-15</t>
        </is>
      </c>
    </row>
    <row r="1199">
      <c r="A1199" s="2" t="n">
        <v>46124</v>
      </c>
      <c r="B1199" s="3" t="n">
        <v>2026</v>
      </c>
      <c r="C1199" s="3" t="n">
        <v>4</v>
      </c>
      <c r="D1199" s="3" t="n">
        <v>15</v>
      </c>
      <c r="E1199" s="3" t="inlineStr">
        <is>
          <t>S26-15</t>
        </is>
      </c>
    </row>
    <row r="1200">
      <c r="A1200" s="2" t="n">
        <v>46125</v>
      </c>
      <c r="B1200" s="3" t="n">
        <v>2026</v>
      </c>
      <c r="C1200" s="3" t="n">
        <v>4</v>
      </c>
      <c r="D1200" s="3" t="n">
        <v>16</v>
      </c>
      <c r="E1200" s="3" t="inlineStr">
        <is>
          <t>S26-16</t>
        </is>
      </c>
    </row>
    <row r="1201">
      <c r="A1201" s="2" t="n">
        <v>46126</v>
      </c>
      <c r="B1201" s="3" t="n">
        <v>2026</v>
      </c>
      <c r="C1201" s="3" t="n">
        <v>4</v>
      </c>
      <c r="D1201" s="3" t="n">
        <v>16</v>
      </c>
      <c r="E1201" s="3" t="inlineStr">
        <is>
          <t>S26-16</t>
        </is>
      </c>
    </row>
    <row r="1202">
      <c r="A1202" s="2" t="n">
        <v>46127</v>
      </c>
      <c r="B1202" s="3" t="n">
        <v>2026</v>
      </c>
      <c r="C1202" s="3" t="n">
        <v>4</v>
      </c>
      <c r="D1202" s="3" t="n">
        <v>16</v>
      </c>
      <c r="E1202" s="3" t="inlineStr">
        <is>
          <t>S26-16</t>
        </is>
      </c>
    </row>
    <row r="1203">
      <c r="A1203" s="2" t="n">
        <v>46128</v>
      </c>
      <c r="B1203" s="3" t="n">
        <v>2026</v>
      </c>
      <c r="C1203" s="3" t="n">
        <v>4</v>
      </c>
      <c r="D1203" s="3" t="n">
        <v>16</v>
      </c>
      <c r="E1203" s="3" t="inlineStr">
        <is>
          <t>S26-16</t>
        </is>
      </c>
    </row>
    <row r="1204">
      <c r="A1204" s="2" t="n">
        <v>46129</v>
      </c>
      <c r="B1204" s="3" t="n">
        <v>2026</v>
      </c>
      <c r="C1204" s="3" t="n">
        <v>4</v>
      </c>
      <c r="D1204" s="3" t="n">
        <v>16</v>
      </c>
      <c r="E1204" s="3" t="inlineStr">
        <is>
          <t>S26-16</t>
        </is>
      </c>
    </row>
    <row r="1205">
      <c r="A1205" s="2" t="n">
        <v>46130</v>
      </c>
      <c r="B1205" s="3" t="n">
        <v>2026</v>
      </c>
      <c r="C1205" s="3" t="n">
        <v>4</v>
      </c>
      <c r="D1205" s="3" t="n">
        <v>16</v>
      </c>
      <c r="E1205" s="3" t="inlineStr">
        <is>
          <t>S26-16</t>
        </is>
      </c>
    </row>
    <row r="1206">
      <c r="A1206" s="2" t="n">
        <v>46131</v>
      </c>
      <c r="B1206" s="3" t="n">
        <v>2026</v>
      </c>
      <c r="C1206" s="3" t="n">
        <v>4</v>
      </c>
      <c r="D1206" s="3" t="n">
        <v>16</v>
      </c>
      <c r="E1206" s="3" t="inlineStr">
        <is>
          <t>S26-16</t>
        </is>
      </c>
    </row>
    <row r="1207">
      <c r="A1207" s="2" t="n">
        <v>46132</v>
      </c>
      <c r="B1207" s="3" t="n">
        <v>2026</v>
      </c>
      <c r="C1207" s="3" t="n">
        <v>4</v>
      </c>
      <c r="D1207" s="3" t="n">
        <v>17</v>
      </c>
      <c r="E1207" s="3" t="inlineStr">
        <is>
          <t>S26-17</t>
        </is>
      </c>
    </row>
    <row r="1208">
      <c r="A1208" s="2" t="n">
        <v>46133</v>
      </c>
      <c r="B1208" s="3" t="n">
        <v>2026</v>
      </c>
      <c r="C1208" s="3" t="n">
        <v>4</v>
      </c>
      <c r="D1208" s="3" t="n">
        <v>17</v>
      </c>
      <c r="E1208" s="3" t="inlineStr">
        <is>
          <t>S26-17</t>
        </is>
      </c>
    </row>
    <row r="1209">
      <c r="A1209" s="2" t="n">
        <v>46134</v>
      </c>
      <c r="B1209" s="3" t="n">
        <v>2026</v>
      </c>
      <c r="C1209" s="3" t="n">
        <v>4</v>
      </c>
      <c r="D1209" s="3" t="n">
        <v>17</v>
      </c>
      <c r="E1209" s="3" t="inlineStr">
        <is>
          <t>S26-17</t>
        </is>
      </c>
    </row>
    <row r="1210">
      <c r="A1210" s="2" t="n">
        <v>46135</v>
      </c>
      <c r="B1210" s="3" t="n">
        <v>2026</v>
      </c>
      <c r="C1210" s="3" t="n">
        <v>4</v>
      </c>
      <c r="D1210" s="3" t="n">
        <v>17</v>
      </c>
      <c r="E1210" s="3" t="inlineStr">
        <is>
          <t>S26-17</t>
        </is>
      </c>
    </row>
    <row r="1211">
      <c r="A1211" s="2" t="n">
        <v>46136</v>
      </c>
      <c r="B1211" s="3" t="n">
        <v>2026</v>
      </c>
      <c r="C1211" s="3" t="n">
        <v>4</v>
      </c>
      <c r="D1211" s="3" t="n">
        <v>17</v>
      </c>
      <c r="E1211" s="3" t="inlineStr">
        <is>
          <t>S26-17</t>
        </is>
      </c>
    </row>
    <row r="1212">
      <c r="A1212" s="2" t="n">
        <v>46137</v>
      </c>
      <c r="B1212" s="3" t="n">
        <v>2026</v>
      </c>
      <c r="C1212" s="3" t="n">
        <v>4</v>
      </c>
      <c r="D1212" s="3" t="n">
        <v>17</v>
      </c>
      <c r="E1212" s="3" t="inlineStr">
        <is>
          <t>S26-17</t>
        </is>
      </c>
    </row>
    <row r="1213">
      <c r="A1213" s="2" t="n">
        <v>46138</v>
      </c>
      <c r="B1213" s="3" t="n">
        <v>2026</v>
      </c>
      <c r="C1213" s="3" t="n">
        <v>4</v>
      </c>
      <c r="D1213" s="3" t="n">
        <v>17</v>
      </c>
      <c r="E1213" s="3" t="inlineStr">
        <is>
          <t>S26-17</t>
        </is>
      </c>
    </row>
    <row r="1214">
      <c r="A1214" s="2" t="n">
        <v>46139</v>
      </c>
      <c r="B1214" s="3" t="n">
        <v>2026</v>
      </c>
      <c r="C1214" s="3" t="n">
        <v>4</v>
      </c>
      <c r="D1214" s="3" t="n">
        <v>18</v>
      </c>
      <c r="E1214" s="3" t="inlineStr">
        <is>
          <t>S26-18</t>
        </is>
      </c>
    </row>
    <row r="1215">
      <c r="A1215" s="2" t="n">
        <v>46140</v>
      </c>
      <c r="B1215" s="3" t="n">
        <v>2026</v>
      </c>
      <c r="C1215" s="3" t="n">
        <v>4</v>
      </c>
      <c r="D1215" s="3" t="n">
        <v>18</v>
      </c>
      <c r="E1215" s="3" t="inlineStr">
        <is>
          <t>S26-18</t>
        </is>
      </c>
    </row>
    <row r="1216">
      <c r="A1216" s="2" t="n">
        <v>46141</v>
      </c>
      <c r="B1216" s="3" t="n">
        <v>2026</v>
      </c>
      <c r="C1216" s="3" t="n">
        <v>4</v>
      </c>
      <c r="D1216" s="3" t="n">
        <v>18</v>
      </c>
      <c r="E1216" s="3" t="inlineStr">
        <is>
          <t>S26-18</t>
        </is>
      </c>
    </row>
    <row r="1217">
      <c r="A1217" s="2" t="n">
        <v>46142</v>
      </c>
      <c r="B1217" s="3" t="n">
        <v>2026</v>
      </c>
      <c r="C1217" s="3" t="n">
        <v>4</v>
      </c>
      <c r="D1217" s="3" t="n">
        <v>18</v>
      </c>
      <c r="E1217" s="3" t="inlineStr">
        <is>
          <t>S26-18</t>
        </is>
      </c>
    </row>
    <row r="1218">
      <c r="A1218" s="2" t="n">
        <v>46143</v>
      </c>
      <c r="B1218" s="3" t="n">
        <v>2026</v>
      </c>
      <c r="C1218" s="3" t="n">
        <v>5</v>
      </c>
      <c r="D1218" s="3" t="n">
        <v>18</v>
      </c>
      <c r="E1218" s="3" t="inlineStr">
        <is>
          <t>S26-18</t>
        </is>
      </c>
    </row>
    <row r="1219">
      <c r="A1219" s="2" t="n">
        <v>46144</v>
      </c>
      <c r="B1219" s="3" t="n">
        <v>2026</v>
      </c>
      <c r="C1219" s="3" t="n">
        <v>5</v>
      </c>
      <c r="D1219" s="3" t="n">
        <v>18</v>
      </c>
      <c r="E1219" s="3" t="inlineStr">
        <is>
          <t>S26-18</t>
        </is>
      </c>
    </row>
    <row r="1220">
      <c r="A1220" s="2" t="n">
        <v>46145</v>
      </c>
      <c r="B1220" s="3" t="n">
        <v>2026</v>
      </c>
      <c r="C1220" s="3" t="n">
        <v>5</v>
      </c>
      <c r="D1220" s="3" t="n">
        <v>18</v>
      </c>
      <c r="E1220" s="3" t="inlineStr">
        <is>
          <t>S26-18</t>
        </is>
      </c>
    </row>
    <row r="1221">
      <c r="A1221" s="2" t="n">
        <v>46146</v>
      </c>
      <c r="B1221" s="3" t="n">
        <v>2026</v>
      </c>
      <c r="C1221" s="3" t="n">
        <v>5</v>
      </c>
      <c r="D1221" s="3" t="n">
        <v>19</v>
      </c>
      <c r="E1221" s="3" t="inlineStr">
        <is>
          <t>S26-19</t>
        </is>
      </c>
    </row>
    <row r="1222">
      <c r="A1222" s="2" t="n">
        <v>46147</v>
      </c>
      <c r="B1222" s="3" t="n">
        <v>2026</v>
      </c>
      <c r="C1222" s="3" t="n">
        <v>5</v>
      </c>
      <c r="D1222" s="3" t="n">
        <v>19</v>
      </c>
      <c r="E1222" s="3" t="inlineStr">
        <is>
          <t>S26-19</t>
        </is>
      </c>
    </row>
    <row r="1223">
      <c r="A1223" s="2" t="n">
        <v>46148</v>
      </c>
      <c r="B1223" s="3" t="n">
        <v>2026</v>
      </c>
      <c r="C1223" s="3" t="n">
        <v>5</v>
      </c>
      <c r="D1223" s="3" t="n">
        <v>19</v>
      </c>
      <c r="E1223" s="3" t="inlineStr">
        <is>
          <t>S26-19</t>
        </is>
      </c>
    </row>
    <row r="1224">
      <c r="A1224" s="2" t="n">
        <v>46149</v>
      </c>
      <c r="B1224" s="3" t="n">
        <v>2026</v>
      </c>
      <c r="C1224" s="3" t="n">
        <v>5</v>
      </c>
      <c r="D1224" s="3" t="n">
        <v>19</v>
      </c>
      <c r="E1224" s="3" t="inlineStr">
        <is>
          <t>S26-19</t>
        </is>
      </c>
    </row>
    <row r="1225">
      <c r="A1225" s="2" t="n">
        <v>46150</v>
      </c>
      <c r="B1225" s="3" t="n">
        <v>2026</v>
      </c>
      <c r="C1225" s="3" t="n">
        <v>5</v>
      </c>
      <c r="D1225" s="3" t="n">
        <v>19</v>
      </c>
      <c r="E1225" s="3" t="inlineStr">
        <is>
          <t>S26-19</t>
        </is>
      </c>
    </row>
    <row r="1226">
      <c r="A1226" s="2" t="n">
        <v>46151</v>
      </c>
      <c r="B1226" s="3" t="n">
        <v>2026</v>
      </c>
      <c r="C1226" s="3" t="n">
        <v>5</v>
      </c>
      <c r="D1226" s="3" t="n">
        <v>19</v>
      </c>
      <c r="E1226" s="3" t="inlineStr">
        <is>
          <t>S26-19</t>
        </is>
      </c>
    </row>
    <row r="1227">
      <c r="A1227" s="2" t="n">
        <v>46152</v>
      </c>
      <c r="B1227" s="3" t="n">
        <v>2026</v>
      </c>
      <c r="C1227" s="3" t="n">
        <v>5</v>
      </c>
      <c r="D1227" s="3" t="n">
        <v>19</v>
      </c>
      <c r="E1227" s="3" t="inlineStr">
        <is>
          <t>S26-19</t>
        </is>
      </c>
    </row>
    <row r="1228">
      <c r="A1228" s="2" t="n">
        <v>46153</v>
      </c>
      <c r="B1228" s="3" t="n">
        <v>2026</v>
      </c>
      <c r="C1228" s="3" t="n">
        <v>5</v>
      </c>
      <c r="D1228" s="3" t="n">
        <v>20</v>
      </c>
      <c r="E1228" s="3" t="inlineStr">
        <is>
          <t>S26-20</t>
        </is>
      </c>
    </row>
    <row r="1229">
      <c r="A1229" s="2" t="n">
        <v>46154</v>
      </c>
      <c r="B1229" s="3" t="n">
        <v>2026</v>
      </c>
      <c r="C1229" s="3" t="n">
        <v>5</v>
      </c>
      <c r="D1229" s="3" t="n">
        <v>20</v>
      </c>
      <c r="E1229" s="3" t="inlineStr">
        <is>
          <t>S26-20</t>
        </is>
      </c>
    </row>
    <row r="1230">
      <c r="A1230" s="2" t="n">
        <v>46155</v>
      </c>
      <c r="B1230" s="3" t="n">
        <v>2026</v>
      </c>
      <c r="C1230" s="3" t="n">
        <v>5</v>
      </c>
      <c r="D1230" s="3" t="n">
        <v>20</v>
      </c>
      <c r="E1230" s="3" t="inlineStr">
        <is>
          <t>S26-20</t>
        </is>
      </c>
    </row>
    <row r="1231">
      <c r="A1231" s="2" t="n">
        <v>46156</v>
      </c>
      <c r="B1231" s="3" t="n">
        <v>2026</v>
      </c>
      <c r="C1231" s="3" t="n">
        <v>5</v>
      </c>
      <c r="D1231" s="3" t="n">
        <v>20</v>
      </c>
      <c r="E1231" s="3" t="inlineStr">
        <is>
          <t>S26-20</t>
        </is>
      </c>
    </row>
    <row r="1232">
      <c r="A1232" s="2" t="n">
        <v>46157</v>
      </c>
      <c r="B1232" s="3" t="n">
        <v>2026</v>
      </c>
      <c r="C1232" s="3" t="n">
        <v>5</v>
      </c>
      <c r="D1232" s="3" t="n">
        <v>20</v>
      </c>
      <c r="E1232" s="3" t="inlineStr">
        <is>
          <t>S26-20</t>
        </is>
      </c>
    </row>
    <row r="1233">
      <c r="A1233" s="2" t="n">
        <v>46158</v>
      </c>
      <c r="B1233" s="3" t="n">
        <v>2026</v>
      </c>
      <c r="C1233" s="3" t="n">
        <v>5</v>
      </c>
      <c r="D1233" s="3" t="n">
        <v>20</v>
      </c>
      <c r="E1233" s="3" t="inlineStr">
        <is>
          <t>S26-20</t>
        </is>
      </c>
    </row>
    <row r="1234">
      <c r="A1234" s="2" t="n">
        <v>46159</v>
      </c>
      <c r="B1234" s="3" t="n">
        <v>2026</v>
      </c>
      <c r="C1234" s="3" t="n">
        <v>5</v>
      </c>
      <c r="D1234" s="3" t="n">
        <v>20</v>
      </c>
      <c r="E1234" s="3" t="inlineStr">
        <is>
          <t>S26-20</t>
        </is>
      </c>
    </row>
    <row r="1235">
      <c r="A1235" s="2" t="n">
        <v>46160</v>
      </c>
      <c r="B1235" s="3" t="n">
        <v>2026</v>
      </c>
      <c r="C1235" s="3" t="n">
        <v>5</v>
      </c>
      <c r="D1235" s="3" t="n">
        <v>21</v>
      </c>
      <c r="E1235" s="3" t="inlineStr">
        <is>
          <t>S26-21</t>
        </is>
      </c>
    </row>
    <row r="1236">
      <c r="A1236" s="2" t="n">
        <v>46161</v>
      </c>
      <c r="B1236" s="3" t="n">
        <v>2026</v>
      </c>
      <c r="C1236" s="3" t="n">
        <v>5</v>
      </c>
      <c r="D1236" s="3" t="n">
        <v>21</v>
      </c>
      <c r="E1236" s="3" t="inlineStr">
        <is>
          <t>S26-21</t>
        </is>
      </c>
    </row>
    <row r="1237">
      <c r="A1237" s="2" t="n">
        <v>46162</v>
      </c>
      <c r="B1237" s="3" t="n">
        <v>2026</v>
      </c>
      <c r="C1237" s="3" t="n">
        <v>5</v>
      </c>
      <c r="D1237" s="3" t="n">
        <v>21</v>
      </c>
      <c r="E1237" s="3" t="inlineStr">
        <is>
          <t>S26-21</t>
        </is>
      </c>
    </row>
    <row r="1238">
      <c r="A1238" s="2" t="n">
        <v>46163</v>
      </c>
      <c r="B1238" s="3" t="n">
        <v>2026</v>
      </c>
      <c r="C1238" s="3" t="n">
        <v>5</v>
      </c>
      <c r="D1238" s="3" t="n">
        <v>21</v>
      </c>
      <c r="E1238" s="3" t="inlineStr">
        <is>
          <t>S26-21</t>
        </is>
      </c>
    </row>
    <row r="1239">
      <c r="A1239" s="2" t="n">
        <v>46164</v>
      </c>
      <c r="B1239" s="3" t="n">
        <v>2026</v>
      </c>
      <c r="C1239" s="3" t="n">
        <v>5</v>
      </c>
      <c r="D1239" s="3" t="n">
        <v>21</v>
      </c>
      <c r="E1239" s="3" t="inlineStr">
        <is>
          <t>S26-21</t>
        </is>
      </c>
    </row>
    <row r="1240">
      <c r="A1240" s="2" t="n">
        <v>46165</v>
      </c>
      <c r="B1240" s="3" t="n">
        <v>2026</v>
      </c>
      <c r="C1240" s="3" t="n">
        <v>5</v>
      </c>
      <c r="D1240" s="3" t="n">
        <v>21</v>
      </c>
      <c r="E1240" s="3" t="inlineStr">
        <is>
          <t>S26-21</t>
        </is>
      </c>
    </row>
    <row r="1241">
      <c r="A1241" s="2" t="n">
        <v>46166</v>
      </c>
      <c r="B1241" s="3" t="n">
        <v>2026</v>
      </c>
      <c r="C1241" s="3" t="n">
        <v>5</v>
      </c>
      <c r="D1241" s="3" t="n">
        <v>21</v>
      </c>
      <c r="E1241" s="3" t="inlineStr">
        <is>
          <t>S26-21</t>
        </is>
      </c>
    </row>
    <row r="1242">
      <c r="A1242" s="2" t="n">
        <v>46167</v>
      </c>
      <c r="B1242" s="3" t="n">
        <v>2026</v>
      </c>
      <c r="C1242" s="3" t="n">
        <v>5</v>
      </c>
      <c r="D1242" s="3" t="n">
        <v>22</v>
      </c>
      <c r="E1242" s="3" t="inlineStr">
        <is>
          <t>S26-22</t>
        </is>
      </c>
    </row>
    <row r="1243">
      <c r="A1243" s="2" t="n">
        <v>46168</v>
      </c>
      <c r="B1243" s="3" t="n">
        <v>2026</v>
      </c>
      <c r="C1243" s="3" t="n">
        <v>5</v>
      </c>
      <c r="D1243" s="3" t="n">
        <v>22</v>
      </c>
      <c r="E1243" s="3" t="inlineStr">
        <is>
          <t>S26-22</t>
        </is>
      </c>
    </row>
    <row r="1244">
      <c r="A1244" s="2" t="n">
        <v>46169</v>
      </c>
      <c r="B1244" s="3" t="n">
        <v>2026</v>
      </c>
      <c r="C1244" s="3" t="n">
        <v>5</v>
      </c>
      <c r="D1244" s="3" t="n">
        <v>22</v>
      </c>
      <c r="E1244" s="3" t="inlineStr">
        <is>
          <t>S26-22</t>
        </is>
      </c>
    </row>
    <row r="1245">
      <c r="A1245" s="2" t="n">
        <v>46170</v>
      </c>
      <c r="B1245" s="3" t="n">
        <v>2026</v>
      </c>
      <c r="C1245" s="3" t="n">
        <v>5</v>
      </c>
      <c r="D1245" s="3" t="n">
        <v>22</v>
      </c>
      <c r="E1245" s="3" t="inlineStr">
        <is>
          <t>S26-22</t>
        </is>
      </c>
    </row>
    <row r="1246">
      <c r="A1246" s="2" t="n">
        <v>46171</v>
      </c>
      <c r="B1246" s="3" t="n">
        <v>2026</v>
      </c>
      <c r="C1246" s="3" t="n">
        <v>5</v>
      </c>
      <c r="D1246" s="3" t="n">
        <v>22</v>
      </c>
      <c r="E1246" s="3" t="inlineStr">
        <is>
          <t>S26-22</t>
        </is>
      </c>
    </row>
    <row r="1247">
      <c r="A1247" s="2" t="n">
        <v>46172</v>
      </c>
      <c r="B1247" s="3" t="n">
        <v>2026</v>
      </c>
      <c r="C1247" s="3" t="n">
        <v>5</v>
      </c>
      <c r="D1247" s="3" t="n">
        <v>22</v>
      </c>
      <c r="E1247" s="3" t="inlineStr">
        <is>
          <t>S26-22</t>
        </is>
      </c>
    </row>
    <row r="1248">
      <c r="A1248" s="2" t="n">
        <v>46173</v>
      </c>
      <c r="B1248" s="3" t="n">
        <v>2026</v>
      </c>
      <c r="C1248" s="3" t="n">
        <v>5</v>
      </c>
      <c r="D1248" s="3" t="n">
        <v>22</v>
      </c>
      <c r="E1248" s="3" t="inlineStr">
        <is>
          <t>S26-22</t>
        </is>
      </c>
    </row>
    <row r="1249">
      <c r="A1249" s="2" t="n">
        <v>46174</v>
      </c>
      <c r="B1249" s="3" t="n">
        <v>2026</v>
      </c>
      <c r="C1249" s="3" t="n">
        <v>6</v>
      </c>
      <c r="D1249" s="3" t="n">
        <v>23</v>
      </c>
      <c r="E1249" s="3" t="inlineStr">
        <is>
          <t>S26-23</t>
        </is>
      </c>
    </row>
    <row r="1250">
      <c r="A1250" s="2" t="n">
        <v>46175</v>
      </c>
      <c r="B1250" s="3" t="n">
        <v>2026</v>
      </c>
      <c r="C1250" s="3" t="n">
        <v>6</v>
      </c>
      <c r="D1250" s="3" t="n">
        <v>23</v>
      </c>
      <c r="E1250" s="3" t="inlineStr">
        <is>
          <t>S26-23</t>
        </is>
      </c>
    </row>
    <row r="1251">
      <c r="A1251" s="2" t="n">
        <v>46176</v>
      </c>
      <c r="B1251" s="3" t="n">
        <v>2026</v>
      </c>
      <c r="C1251" s="3" t="n">
        <v>6</v>
      </c>
      <c r="D1251" s="3" t="n">
        <v>23</v>
      </c>
      <c r="E1251" s="3" t="inlineStr">
        <is>
          <t>S26-23</t>
        </is>
      </c>
    </row>
    <row r="1252">
      <c r="A1252" s="2" t="n">
        <v>46177</v>
      </c>
      <c r="B1252" s="3" t="n">
        <v>2026</v>
      </c>
      <c r="C1252" s="3" t="n">
        <v>6</v>
      </c>
      <c r="D1252" s="3" t="n">
        <v>23</v>
      </c>
      <c r="E1252" s="3" t="inlineStr">
        <is>
          <t>S26-23</t>
        </is>
      </c>
    </row>
    <row r="1253">
      <c r="A1253" s="2" t="n">
        <v>46178</v>
      </c>
      <c r="B1253" s="3" t="n">
        <v>2026</v>
      </c>
      <c r="C1253" s="3" t="n">
        <v>6</v>
      </c>
      <c r="D1253" s="3" t="n">
        <v>23</v>
      </c>
      <c r="E1253" s="3" t="inlineStr">
        <is>
          <t>S26-23</t>
        </is>
      </c>
    </row>
    <row r="1254">
      <c r="A1254" s="2" t="n">
        <v>46179</v>
      </c>
      <c r="B1254" s="3" t="n">
        <v>2026</v>
      </c>
      <c r="C1254" s="3" t="n">
        <v>6</v>
      </c>
      <c r="D1254" s="3" t="n">
        <v>23</v>
      </c>
      <c r="E1254" s="3" t="inlineStr">
        <is>
          <t>S26-23</t>
        </is>
      </c>
    </row>
    <row r="1255">
      <c r="A1255" s="2" t="n">
        <v>46180</v>
      </c>
      <c r="B1255" s="3" t="n">
        <v>2026</v>
      </c>
      <c r="C1255" s="3" t="n">
        <v>6</v>
      </c>
      <c r="D1255" s="3" t="n">
        <v>23</v>
      </c>
      <c r="E1255" s="3" t="inlineStr">
        <is>
          <t>S26-23</t>
        </is>
      </c>
    </row>
    <row r="1256">
      <c r="A1256" s="2" t="n">
        <v>46181</v>
      </c>
      <c r="B1256" s="3" t="n">
        <v>2026</v>
      </c>
      <c r="C1256" s="3" t="n">
        <v>6</v>
      </c>
      <c r="D1256" s="3" t="n">
        <v>24</v>
      </c>
      <c r="E1256" s="3" t="inlineStr">
        <is>
          <t>S26-24</t>
        </is>
      </c>
    </row>
    <row r="1257">
      <c r="A1257" s="2" t="n">
        <v>46182</v>
      </c>
      <c r="B1257" s="3" t="n">
        <v>2026</v>
      </c>
      <c r="C1257" s="3" t="n">
        <v>6</v>
      </c>
      <c r="D1257" s="3" t="n">
        <v>24</v>
      </c>
      <c r="E1257" s="3" t="inlineStr">
        <is>
          <t>S26-24</t>
        </is>
      </c>
    </row>
    <row r="1258">
      <c r="A1258" s="2" t="n">
        <v>46183</v>
      </c>
      <c r="B1258" s="3" t="n">
        <v>2026</v>
      </c>
      <c r="C1258" s="3" t="n">
        <v>6</v>
      </c>
      <c r="D1258" s="3" t="n">
        <v>24</v>
      </c>
      <c r="E1258" s="3" t="inlineStr">
        <is>
          <t>S26-24</t>
        </is>
      </c>
    </row>
    <row r="1259">
      <c r="A1259" s="2" t="n">
        <v>46184</v>
      </c>
      <c r="B1259" s="3" t="n">
        <v>2026</v>
      </c>
      <c r="C1259" s="3" t="n">
        <v>6</v>
      </c>
      <c r="D1259" s="3" t="n">
        <v>24</v>
      </c>
      <c r="E1259" s="3" t="inlineStr">
        <is>
          <t>S26-24</t>
        </is>
      </c>
    </row>
    <row r="1260">
      <c r="A1260" s="2" t="n">
        <v>46185</v>
      </c>
      <c r="B1260" s="3" t="n">
        <v>2026</v>
      </c>
      <c r="C1260" s="3" t="n">
        <v>6</v>
      </c>
      <c r="D1260" s="3" t="n">
        <v>24</v>
      </c>
      <c r="E1260" s="3" t="inlineStr">
        <is>
          <t>S26-24</t>
        </is>
      </c>
    </row>
    <row r="1261">
      <c r="A1261" s="2" t="n">
        <v>46186</v>
      </c>
      <c r="B1261" s="3" t="n">
        <v>2026</v>
      </c>
      <c r="C1261" s="3" t="n">
        <v>6</v>
      </c>
      <c r="D1261" s="3" t="n">
        <v>24</v>
      </c>
      <c r="E1261" s="3" t="inlineStr">
        <is>
          <t>S26-24</t>
        </is>
      </c>
    </row>
    <row r="1262">
      <c r="A1262" s="2" t="n">
        <v>46187</v>
      </c>
      <c r="B1262" s="3" t="n">
        <v>2026</v>
      </c>
      <c r="C1262" s="3" t="n">
        <v>6</v>
      </c>
      <c r="D1262" s="3" t="n">
        <v>24</v>
      </c>
      <c r="E1262" s="3" t="inlineStr">
        <is>
          <t>S26-24</t>
        </is>
      </c>
    </row>
    <row r="1263">
      <c r="A1263" s="2" t="n">
        <v>46188</v>
      </c>
      <c r="B1263" s="3" t="n">
        <v>2026</v>
      </c>
      <c r="C1263" s="3" t="n">
        <v>6</v>
      </c>
      <c r="D1263" s="3" t="n">
        <v>25</v>
      </c>
      <c r="E1263" s="3" t="inlineStr">
        <is>
          <t>S26-25</t>
        </is>
      </c>
    </row>
    <row r="1264">
      <c r="A1264" s="2" t="n">
        <v>46189</v>
      </c>
      <c r="B1264" s="3" t="n">
        <v>2026</v>
      </c>
      <c r="C1264" s="3" t="n">
        <v>6</v>
      </c>
      <c r="D1264" s="3" t="n">
        <v>25</v>
      </c>
      <c r="E1264" s="3" t="inlineStr">
        <is>
          <t>S26-25</t>
        </is>
      </c>
    </row>
    <row r="1265">
      <c r="A1265" s="2" t="n">
        <v>46190</v>
      </c>
      <c r="B1265" s="3" t="n">
        <v>2026</v>
      </c>
      <c r="C1265" s="3" t="n">
        <v>6</v>
      </c>
      <c r="D1265" s="3" t="n">
        <v>25</v>
      </c>
      <c r="E1265" s="3" t="inlineStr">
        <is>
          <t>S26-25</t>
        </is>
      </c>
    </row>
    <row r="1266">
      <c r="A1266" s="2" t="n">
        <v>46191</v>
      </c>
      <c r="B1266" s="3" t="n">
        <v>2026</v>
      </c>
      <c r="C1266" s="3" t="n">
        <v>6</v>
      </c>
      <c r="D1266" s="3" t="n">
        <v>25</v>
      </c>
      <c r="E1266" s="3" t="inlineStr">
        <is>
          <t>S26-25</t>
        </is>
      </c>
    </row>
    <row r="1267">
      <c r="A1267" s="2" t="n">
        <v>46192</v>
      </c>
      <c r="B1267" s="3" t="n">
        <v>2026</v>
      </c>
      <c r="C1267" s="3" t="n">
        <v>6</v>
      </c>
      <c r="D1267" s="3" t="n">
        <v>25</v>
      </c>
      <c r="E1267" s="3" t="inlineStr">
        <is>
          <t>S26-25</t>
        </is>
      </c>
    </row>
    <row r="1268">
      <c r="A1268" s="2" t="n">
        <v>46193</v>
      </c>
      <c r="B1268" s="3" t="n">
        <v>2026</v>
      </c>
      <c r="C1268" s="3" t="n">
        <v>6</v>
      </c>
      <c r="D1268" s="3" t="n">
        <v>25</v>
      </c>
      <c r="E1268" s="3" t="inlineStr">
        <is>
          <t>S26-25</t>
        </is>
      </c>
    </row>
    <row r="1269">
      <c r="A1269" s="2" t="n">
        <v>46194</v>
      </c>
      <c r="B1269" s="3" t="n">
        <v>2026</v>
      </c>
      <c r="C1269" s="3" t="n">
        <v>6</v>
      </c>
      <c r="D1269" s="3" t="n">
        <v>25</v>
      </c>
      <c r="E1269" s="3" t="inlineStr">
        <is>
          <t>S26-25</t>
        </is>
      </c>
    </row>
    <row r="1270">
      <c r="A1270" s="2" t="n">
        <v>46195</v>
      </c>
      <c r="B1270" s="3" t="n">
        <v>2026</v>
      </c>
      <c r="C1270" s="3" t="n">
        <v>6</v>
      </c>
      <c r="D1270" s="3" t="n">
        <v>26</v>
      </c>
      <c r="E1270" s="3" t="inlineStr">
        <is>
          <t>S26-26</t>
        </is>
      </c>
    </row>
    <row r="1271">
      <c r="A1271" s="2" t="n">
        <v>46196</v>
      </c>
      <c r="B1271" s="3" t="n">
        <v>2026</v>
      </c>
      <c r="C1271" s="3" t="n">
        <v>6</v>
      </c>
      <c r="D1271" s="3" t="n">
        <v>26</v>
      </c>
      <c r="E1271" s="3" t="inlineStr">
        <is>
          <t>S26-26</t>
        </is>
      </c>
    </row>
    <row r="1272">
      <c r="A1272" s="2" t="n">
        <v>46197</v>
      </c>
      <c r="B1272" s="3" t="n">
        <v>2026</v>
      </c>
      <c r="C1272" s="3" t="n">
        <v>6</v>
      </c>
      <c r="D1272" s="3" t="n">
        <v>26</v>
      </c>
      <c r="E1272" s="3" t="inlineStr">
        <is>
          <t>S26-26</t>
        </is>
      </c>
    </row>
    <row r="1273">
      <c r="A1273" s="2" t="n">
        <v>46198</v>
      </c>
      <c r="B1273" s="3" t="n">
        <v>2026</v>
      </c>
      <c r="C1273" s="3" t="n">
        <v>6</v>
      </c>
      <c r="D1273" s="3" t="n">
        <v>26</v>
      </c>
      <c r="E1273" s="3" t="inlineStr">
        <is>
          <t>S26-26</t>
        </is>
      </c>
    </row>
    <row r="1274">
      <c r="A1274" s="2" t="n">
        <v>46199</v>
      </c>
      <c r="B1274" s="3" t="n">
        <v>2026</v>
      </c>
      <c r="C1274" s="3" t="n">
        <v>6</v>
      </c>
      <c r="D1274" s="3" t="n">
        <v>26</v>
      </c>
      <c r="E1274" s="3" t="inlineStr">
        <is>
          <t>S26-26</t>
        </is>
      </c>
    </row>
    <row r="1275">
      <c r="A1275" s="2" t="n">
        <v>46200</v>
      </c>
      <c r="B1275" s="3" t="n">
        <v>2026</v>
      </c>
      <c r="C1275" s="3" t="n">
        <v>6</v>
      </c>
      <c r="D1275" s="3" t="n">
        <v>26</v>
      </c>
      <c r="E1275" s="3" t="inlineStr">
        <is>
          <t>S26-26</t>
        </is>
      </c>
    </row>
    <row r="1276">
      <c r="A1276" s="2" t="n">
        <v>46201</v>
      </c>
      <c r="B1276" s="3" t="n">
        <v>2026</v>
      </c>
      <c r="C1276" s="3" t="n">
        <v>6</v>
      </c>
      <c r="D1276" s="3" t="n">
        <v>26</v>
      </c>
      <c r="E1276" s="3" t="inlineStr">
        <is>
          <t>S26-26</t>
        </is>
      </c>
    </row>
    <row r="1277">
      <c r="A1277" s="2" t="n">
        <v>46202</v>
      </c>
      <c r="B1277" s="3" t="n">
        <v>2026</v>
      </c>
      <c r="C1277" s="3" t="n">
        <v>6</v>
      </c>
      <c r="D1277" s="3" t="n">
        <v>27</v>
      </c>
      <c r="E1277" s="3" t="inlineStr">
        <is>
          <t>S26-27</t>
        </is>
      </c>
    </row>
    <row r="1278">
      <c r="A1278" s="2" t="n">
        <v>46203</v>
      </c>
      <c r="B1278" s="3" t="n">
        <v>2026</v>
      </c>
      <c r="C1278" s="3" t="n">
        <v>6</v>
      </c>
      <c r="D1278" s="3" t="n">
        <v>27</v>
      </c>
      <c r="E1278" s="3" t="inlineStr">
        <is>
          <t>S26-27</t>
        </is>
      </c>
    </row>
    <row r="1279">
      <c r="A1279" s="2" t="n">
        <v>46204</v>
      </c>
      <c r="B1279" s="3" t="n">
        <v>2026</v>
      </c>
      <c r="C1279" s="3" t="n">
        <v>7</v>
      </c>
      <c r="D1279" s="3" t="n">
        <v>27</v>
      </c>
      <c r="E1279" s="3" t="inlineStr">
        <is>
          <t>S26-27</t>
        </is>
      </c>
    </row>
    <row r="1280">
      <c r="A1280" s="2" t="n">
        <v>46205</v>
      </c>
      <c r="B1280" s="3" t="n">
        <v>2026</v>
      </c>
      <c r="C1280" s="3" t="n">
        <v>7</v>
      </c>
      <c r="D1280" s="3" t="n">
        <v>27</v>
      </c>
      <c r="E1280" s="3" t="inlineStr">
        <is>
          <t>S26-27</t>
        </is>
      </c>
    </row>
    <row r="1281">
      <c r="A1281" s="2" t="n">
        <v>46206</v>
      </c>
      <c r="B1281" s="3" t="n">
        <v>2026</v>
      </c>
      <c r="C1281" s="3" t="n">
        <v>7</v>
      </c>
      <c r="D1281" s="3" t="n">
        <v>27</v>
      </c>
      <c r="E1281" s="3" t="inlineStr">
        <is>
          <t>S26-27</t>
        </is>
      </c>
    </row>
    <row r="1282">
      <c r="A1282" s="2" t="n">
        <v>46207</v>
      </c>
      <c r="B1282" s="3" t="n">
        <v>2026</v>
      </c>
      <c r="C1282" s="3" t="n">
        <v>7</v>
      </c>
      <c r="D1282" s="3" t="n">
        <v>27</v>
      </c>
      <c r="E1282" s="3" t="inlineStr">
        <is>
          <t>S26-27</t>
        </is>
      </c>
    </row>
    <row r="1283">
      <c r="A1283" s="2" t="n">
        <v>46208</v>
      </c>
      <c r="B1283" s="3" t="n">
        <v>2026</v>
      </c>
      <c r="C1283" s="3" t="n">
        <v>7</v>
      </c>
      <c r="D1283" s="3" t="n">
        <v>27</v>
      </c>
      <c r="E1283" s="3" t="inlineStr">
        <is>
          <t>S26-27</t>
        </is>
      </c>
    </row>
    <row r="1284">
      <c r="A1284" s="2" t="n">
        <v>46209</v>
      </c>
      <c r="B1284" s="3" t="n">
        <v>2026</v>
      </c>
      <c r="C1284" s="3" t="n">
        <v>7</v>
      </c>
      <c r="D1284" s="3" t="n">
        <v>28</v>
      </c>
      <c r="E1284" s="3" t="inlineStr">
        <is>
          <t>S26-28</t>
        </is>
      </c>
    </row>
    <row r="1285">
      <c r="A1285" s="2" t="n">
        <v>46210</v>
      </c>
      <c r="B1285" s="3" t="n">
        <v>2026</v>
      </c>
      <c r="C1285" s="3" t="n">
        <v>7</v>
      </c>
      <c r="D1285" s="3" t="n">
        <v>28</v>
      </c>
      <c r="E1285" s="3" t="inlineStr">
        <is>
          <t>S26-28</t>
        </is>
      </c>
    </row>
    <row r="1286">
      <c r="A1286" s="2" t="n">
        <v>46211</v>
      </c>
      <c r="B1286" s="3" t="n">
        <v>2026</v>
      </c>
      <c r="C1286" s="3" t="n">
        <v>7</v>
      </c>
      <c r="D1286" s="3" t="n">
        <v>28</v>
      </c>
      <c r="E1286" s="3" t="inlineStr">
        <is>
          <t>S26-28</t>
        </is>
      </c>
    </row>
    <row r="1287">
      <c r="A1287" s="2" t="n">
        <v>46212</v>
      </c>
      <c r="B1287" s="3" t="n">
        <v>2026</v>
      </c>
      <c r="C1287" s="3" t="n">
        <v>7</v>
      </c>
      <c r="D1287" s="3" t="n">
        <v>28</v>
      </c>
      <c r="E1287" s="3" t="inlineStr">
        <is>
          <t>S26-28</t>
        </is>
      </c>
    </row>
    <row r="1288">
      <c r="A1288" s="2" t="n">
        <v>46213</v>
      </c>
      <c r="B1288" s="3" t="n">
        <v>2026</v>
      </c>
      <c r="C1288" s="3" t="n">
        <v>7</v>
      </c>
      <c r="D1288" s="3" t="n">
        <v>28</v>
      </c>
      <c r="E1288" s="3" t="inlineStr">
        <is>
          <t>S26-28</t>
        </is>
      </c>
    </row>
    <row r="1289">
      <c r="A1289" s="2" t="n">
        <v>46214</v>
      </c>
      <c r="B1289" s="3" t="n">
        <v>2026</v>
      </c>
      <c r="C1289" s="3" t="n">
        <v>7</v>
      </c>
      <c r="D1289" s="3" t="n">
        <v>28</v>
      </c>
      <c r="E1289" s="3" t="inlineStr">
        <is>
          <t>S26-28</t>
        </is>
      </c>
    </row>
    <row r="1290">
      <c r="A1290" s="2" t="n">
        <v>46215</v>
      </c>
      <c r="B1290" s="3" t="n">
        <v>2026</v>
      </c>
      <c r="C1290" s="3" t="n">
        <v>7</v>
      </c>
      <c r="D1290" s="3" t="n">
        <v>28</v>
      </c>
      <c r="E1290" s="3" t="inlineStr">
        <is>
          <t>S26-28</t>
        </is>
      </c>
    </row>
    <row r="1291">
      <c r="A1291" s="2" t="n">
        <v>46216</v>
      </c>
      <c r="B1291" s="3" t="n">
        <v>2026</v>
      </c>
      <c r="C1291" s="3" t="n">
        <v>7</v>
      </c>
      <c r="D1291" s="3" t="n">
        <v>29</v>
      </c>
      <c r="E1291" s="3" t="inlineStr">
        <is>
          <t>S26-29</t>
        </is>
      </c>
    </row>
    <row r="1292">
      <c r="A1292" s="2" t="n">
        <v>46217</v>
      </c>
      <c r="B1292" s="3" t="n">
        <v>2026</v>
      </c>
      <c r="C1292" s="3" t="n">
        <v>7</v>
      </c>
      <c r="D1292" s="3" t="n">
        <v>29</v>
      </c>
      <c r="E1292" s="3" t="inlineStr">
        <is>
          <t>S26-29</t>
        </is>
      </c>
    </row>
    <row r="1293">
      <c r="A1293" s="2" t="n">
        <v>46218</v>
      </c>
      <c r="B1293" s="3" t="n">
        <v>2026</v>
      </c>
      <c r="C1293" s="3" t="n">
        <v>7</v>
      </c>
      <c r="D1293" s="3" t="n">
        <v>29</v>
      </c>
      <c r="E1293" s="3" t="inlineStr">
        <is>
          <t>S26-29</t>
        </is>
      </c>
    </row>
    <row r="1294">
      <c r="A1294" s="2" t="n">
        <v>46219</v>
      </c>
      <c r="B1294" s="3" t="n">
        <v>2026</v>
      </c>
      <c r="C1294" s="3" t="n">
        <v>7</v>
      </c>
      <c r="D1294" s="3" t="n">
        <v>29</v>
      </c>
      <c r="E1294" s="3" t="inlineStr">
        <is>
          <t>S26-29</t>
        </is>
      </c>
    </row>
    <row r="1295">
      <c r="A1295" s="2" t="n">
        <v>46220</v>
      </c>
      <c r="B1295" s="3" t="n">
        <v>2026</v>
      </c>
      <c r="C1295" s="3" t="n">
        <v>7</v>
      </c>
      <c r="D1295" s="3" t="n">
        <v>29</v>
      </c>
      <c r="E1295" s="3" t="inlineStr">
        <is>
          <t>S26-29</t>
        </is>
      </c>
    </row>
    <row r="1296">
      <c r="A1296" s="2" t="n">
        <v>46221</v>
      </c>
      <c r="B1296" s="3" t="n">
        <v>2026</v>
      </c>
      <c r="C1296" s="3" t="n">
        <v>7</v>
      </c>
      <c r="D1296" s="3" t="n">
        <v>29</v>
      </c>
      <c r="E1296" s="3" t="inlineStr">
        <is>
          <t>S26-29</t>
        </is>
      </c>
    </row>
    <row r="1297">
      <c r="A1297" s="2" t="n">
        <v>46222</v>
      </c>
      <c r="B1297" s="3" t="n">
        <v>2026</v>
      </c>
      <c r="C1297" s="3" t="n">
        <v>7</v>
      </c>
      <c r="D1297" s="3" t="n">
        <v>29</v>
      </c>
      <c r="E1297" s="3" t="inlineStr">
        <is>
          <t>S26-29</t>
        </is>
      </c>
    </row>
    <row r="1298">
      <c r="A1298" s="2" t="n">
        <v>46223</v>
      </c>
      <c r="B1298" s="3" t="n">
        <v>2026</v>
      </c>
      <c r="C1298" s="3" t="n">
        <v>7</v>
      </c>
      <c r="D1298" s="3" t="n">
        <v>30</v>
      </c>
      <c r="E1298" s="3" t="inlineStr">
        <is>
          <t>S26-30</t>
        </is>
      </c>
    </row>
    <row r="1299">
      <c r="A1299" s="2" t="n">
        <v>46224</v>
      </c>
      <c r="B1299" s="3" t="n">
        <v>2026</v>
      </c>
      <c r="C1299" s="3" t="n">
        <v>7</v>
      </c>
      <c r="D1299" s="3" t="n">
        <v>30</v>
      </c>
      <c r="E1299" s="3" t="inlineStr">
        <is>
          <t>S26-30</t>
        </is>
      </c>
    </row>
    <row r="1300">
      <c r="A1300" s="2" t="n">
        <v>46225</v>
      </c>
      <c r="B1300" s="3" t="n">
        <v>2026</v>
      </c>
      <c r="C1300" s="3" t="n">
        <v>7</v>
      </c>
      <c r="D1300" s="3" t="n">
        <v>30</v>
      </c>
      <c r="E1300" s="3" t="inlineStr">
        <is>
          <t>S26-30</t>
        </is>
      </c>
    </row>
    <row r="1301">
      <c r="A1301" s="2" t="n">
        <v>46226</v>
      </c>
      <c r="B1301" s="3" t="n">
        <v>2026</v>
      </c>
      <c r="C1301" s="3" t="n">
        <v>7</v>
      </c>
      <c r="D1301" s="3" t="n">
        <v>30</v>
      </c>
      <c r="E1301" s="3" t="inlineStr">
        <is>
          <t>S26-30</t>
        </is>
      </c>
    </row>
    <row r="1302">
      <c r="A1302" s="2" t="n">
        <v>46227</v>
      </c>
      <c r="B1302" s="3" t="n">
        <v>2026</v>
      </c>
      <c r="C1302" s="3" t="n">
        <v>7</v>
      </c>
      <c r="D1302" s="3" t="n">
        <v>30</v>
      </c>
      <c r="E1302" s="3" t="inlineStr">
        <is>
          <t>S26-30</t>
        </is>
      </c>
    </row>
    <row r="1303">
      <c r="A1303" s="2" t="n">
        <v>46228</v>
      </c>
      <c r="B1303" s="3" t="n">
        <v>2026</v>
      </c>
      <c r="C1303" s="3" t="n">
        <v>7</v>
      </c>
      <c r="D1303" s="3" t="n">
        <v>30</v>
      </c>
      <c r="E1303" s="3" t="inlineStr">
        <is>
          <t>S26-30</t>
        </is>
      </c>
    </row>
    <row r="1304">
      <c r="A1304" s="2" t="n">
        <v>46229</v>
      </c>
      <c r="B1304" s="3" t="n">
        <v>2026</v>
      </c>
      <c r="C1304" s="3" t="n">
        <v>7</v>
      </c>
      <c r="D1304" s="3" t="n">
        <v>30</v>
      </c>
      <c r="E1304" s="3" t="inlineStr">
        <is>
          <t>S26-30</t>
        </is>
      </c>
    </row>
    <row r="1305">
      <c r="A1305" s="2" t="n">
        <v>46230</v>
      </c>
      <c r="B1305" s="3" t="n">
        <v>2026</v>
      </c>
      <c r="C1305" s="3" t="n">
        <v>7</v>
      </c>
      <c r="D1305" s="3" t="n">
        <v>31</v>
      </c>
      <c r="E1305" s="3" t="inlineStr">
        <is>
          <t>S26-31</t>
        </is>
      </c>
    </row>
    <row r="1306">
      <c r="A1306" s="2" t="n">
        <v>46231</v>
      </c>
      <c r="B1306" s="3" t="n">
        <v>2026</v>
      </c>
      <c r="C1306" s="3" t="n">
        <v>7</v>
      </c>
      <c r="D1306" s="3" t="n">
        <v>31</v>
      </c>
      <c r="E1306" s="3" t="inlineStr">
        <is>
          <t>S26-31</t>
        </is>
      </c>
    </row>
    <row r="1307">
      <c r="A1307" s="2" t="n">
        <v>46232</v>
      </c>
      <c r="B1307" s="3" t="n">
        <v>2026</v>
      </c>
      <c r="C1307" s="3" t="n">
        <v>7</v>
      </c>
      <c r="D1307" s="3" t="n">
        <v>31</v>
      </c>
      <c r="E1307" s="3" t="inlineStr">
        <is>
          <t>S26-31</t>
        </is>
      </c>
    </row>
    <row r="1308">
      <c r="A1308" s="2" t="n">
        <v>46233</v>
      </c>
      <c r="B1308" s="3" t="n">
        <v>2026</v>
      </c>
      <c r="C1308" s="3" t="n">
        <v>7</v>
      </c>
      <c r="D1308" s="3" t="n">
        <v>31</v>
      </c>
      <c r="E1308" s="3" t="inlineStr">
        <is>
          <t>S26-31</t>
        </is>
      </c>
    </row>
    <row r="1309">
      <c r="A1309" s="2" t="n">
        <v>46234</v>
      </c>
      <c r="B1309" s="3" t="n">
        <v>2026</v>
      </c>
      <c r="C1309" s="3" t="n">
        <v>7</v>
      </c>
      <c r="D1309" s="3" t="n">
        <v>31</v>
      </c>
      <c r="E1309" s="3" t="inlineStr">
        <is>
          <t>S26-31</t>
        </is>
      </c>
    </row>
    <row r="1310">
      <c r="A1310" s="2" t="n">
        <v>46235</v>
      </c>
      <c r="B1310" s="3" t="n">
        <v>2026</v>
      </c>
      <c r="C1310" s="3" t="n">
        <v>8</v>
      </c>
      <c r="D1310" s="3" t="n">
        <v>31</v>
      </c>
      <c r="E1310" s="3" t="inlineStr">
        <is>
          <t>S26-31</t>
        </is>
      </c>
    </row>
    <row r="1311">
      <c r="A1311" s="2" t="n">
        <v>46236</v>
      </c>
      <c r="B1311" s="3" t="n">
        <v>2026</v>
      </c>
      <c r="C1311" s="3" t="n">
        <v>8</v>
      </c>
      <c r="D1311" s="3" t="n">
        <v>31</v>
      </c>
      <c r="E1311" s="3" t="inlineStr">
        <is>
          <t>S26-31</t>
        </is>
      </c>
    </row>
    <row r="1312">
      <c r="A1312" s="2" t="n">
        <v>46237</v>
      </c>
      <c r="B1312" s="3" t="n">
        <v>2026</v>
      </c>
      <c r="C1312" s="3" t="n">
        <v>8</v>
      </c>
      <c r="D1312" s="3" t="n">
        <v>32</v>
      </c>
      <c r="E1312" s="3" t="inlineStr">
        <is>
          <t>S26-32</t>
        </is>
      </c>
    </row>
    <row r="1313">
      <c r="A1313" s="2" t="n">
        <v>46238</v>
      </c>
      <c r="B1313" s="3" t="n">
        <v>2026</v>
      </c>
      <c r="C1313" s="3" t="n">
        <v>8</v>
      </c>
      <c r="D1313" s="3" t="n">
        <v>32</v>
      </c>
      <c r="E1313" s="3" t="inlineStr">
        <is>
          <t>S26-32</t>
        </is>
      </c>
    </row>
    <row r="1314">
      <c r="A1314" s="2" t="n">
        <v>46239</v>
      </c>
      <c r="B1314" s="3" t="n">
        <v>2026</v>
      </c>
      <c r="C1314" s="3" t="n">
        <v>8</v>
      </c>
      <c r="D1314" s="3" t="n">
        <v>32</v>
      </c>
      <c r="E1314" s="3" t="inlineStr">
        <is>
          <t>S26-32</t>
        </is>
      </c>
    </row>
    <row r="1315">
      <c r="A1315" s="2" t="n">
        <v>46240</v>
      </c>
      <c r="B1315" s="3" t="n">
        <v>2026</v>
      </c>
      <c r="C1315" s="3" t="n">
        <v>8</v>
      </c>
      <c r="D1315" s="3" t="n">
        <v>32</v>
      </c>
      <c r="E1315" s="3" t="inlineStr">
        <is>
          <t>S26-32</t>
        </is>
      </c>
    </row>
    <row r="1316">
      <c r="A1316" s="2" t="n">
        <v>46241</v>
      </c>
      <c r="B1316" s="3" t="n">
        <v>2026</v>
      </c>
      <c r="C1316" s="3" t="n">
        <v>8</v>
      </c>
      <c r="D1316" s="3" t="n">
        <v>32</v>
      </c>
      <c r="E1316" s="3" t="inlineStr">
        <is>
          <t>S26-32</t>
        </is>
      </c>
    </row>
    <row r="1317">
      <c r="A1317" s="2" t="n">
        <v>46242</v>
      </c>
      <c r="B1317" s="3" t="n">
        <v>2026</v>
      </c>
      <c r="C1317" s="3" t="n">
        <v>8</v>
      </c>
      <c r="D1317" s="3" t="n">
        <v>32</v>
      </c>
      <c r="E1317" s="3" t="inlineStr">
        <is>
          <t>S26-32</t>
        </is>
      </c>
    </row>
    <row r="1318">
      <c r="A1318" s="2" t="n">
        <v>46243</v>
      </c>
      <c r="B1318" s="3" t="n">
        <v>2026</v>
      </c>
      <c r="C1318" s="3" t="n">
        <v>8</v>
      </c>
      <c r="D1318" s="3" t="n">
        <v>32</v>
      </c>
      <c r="E1318" s="3" t="inlineStr">
        <is>
          <t>S26-32</t>
        </is>
      </c>
    </row>
    <row r="1319">
      <c r="A1319" s="2" t="n">
        <v>46244</v>
      </c>
      <c r="B1319" s="3" t="n">
        <v>2026</v>
      </c>
      <c r="C1319" s="3" t="n">
        <v>8</v>
      </c>
      <c r="D1319" s="3" t="n">
        <v>33</v>
      </c>
      <c r="E1319" s="3" t="inlineStr">
        <is>
          <t>S26-33</t>
        </is>
      </c>
    </row>
    <row r="1320">
      <c r="A1320" s="2" t="n">
        <v>46245</v>
      </c>
      <c r="B1320" s="3" t="n">
        <v>2026</v>
      </c>
      <c r="C1320" s="3" t="n">
        <v>8</v>
      </c>
      <c r="D1320" s="3" t="n">
        <v>33</v>
      </c>
      <c r="E1320" s="3" t="inlineStr">
        <is>
          <t>S26-33</t>
        </is>
      </c>
    </row>
    <row r="1321">
      <c r="A1321" s="2" t="n">
        <v>46246</v>
      </c>
      <c r="B1321" s="3" t="n">
        <v>2026</v>
      </c>
      <c r="C1321" s="3" t="n">
        <v>8</v>
      </c>
      <c r="D1321" s="3" t="n">
        <v>33</v>
      </c>
      <c r="E1321" s="3" t="inlineStr">
        <is>
          <t>S26-33</t>
        </is>
      </c>
    </row>
    <row r="1322">
      <c r="A1322" s="2" t="n">
        <v>46247</v>
      </c>
      <c r="B1322" s="3" t="n">
        <v>2026</v>
      </c>
      <c r="C1322" s="3" t="n">
        <v>8</v>
      </c>
      <c r="D1322" s="3" t="n">
        <v>33</v>
      </c>
      <c r="E1322" s="3" t="inlineStr">
        <is>
          <t>S26-33</t>
        </is>
      </c>
    </row>
    <row r="1323">
      <c r="A1323" s="2" t="n">
        <v>46248</v>
      </c>
      <c r="B1323" s="3" t="n">
        <v>2026</v>
      </c>
      <c r="C1323" s="3" t="n">
        <v>8</v>
      </c>
      <c r="D1323" s="3" t="n">
        <v>33</v>
      </c>
      <c r="E1323" s="3" t="inlineStr">
        <is>
          <t>S26-33</t>
        </is>
      </c>
    </row>
    <row r="1324">
      <c r="A1324" s="2" t="n">
        <v>46249</v>
      </c>
      <c r="B1324" s="3" t="n">
        <v>2026</v>
      </c>
      <c r="C1324" s="3" t="n">
        <v>8</v>
      </c>
      <c r="D1324" s="3" t="n">
        <v>33</v>
      </c>
      <c r="E1324" s="3" t="inlineStr">
        <is>
          <t>S26-33</t>
        </is>
      </c>
    </row>
    <row r="1325">
      <c r="A1325" s="2" t="n">
        <v>46250</v>
      </c>
      <c r="B1325" s="3" t="n">
        <v>2026</v>
      </c>
      <c r="C1325" s="3" t="n">
        <v>8</v>
      </c>
      <c r="D1325" s="3" t="n">
        <v>33</v>
      </c>
      <c r="E1325" s="3" t="inlineStr">
        <is>
          <t>S26-33</t>
        </is>
      </c>
    </row>
    <row r="1326">
      <c r="A1326" s="2" t="n">
        <v>46251</v>
      </c>
      <c r="B1326" s="3" t="n">
        <v>2026</v>
      </c>
      <c r="C1326" s="3" t="n">
        <v>8</v>
      </c>
      <c r="D1326" s="3" t="n">
        <v>34</v>
      </c>
      <c r="E1326" s="3" t="inlineStr">
        <is>
          <t>S26-34</t>
        </is>
      </c>
    </row>
    <row r="1327">
      <c r="A1327" s="2" t="n">
        <v>46252</v>
      </c>
      <c r="B1327" s="3" t="n">
        <v>2026</v>
      </c>
      <c r="C1327" s="3" t="n">
        <v>8</v>
      </c>
      <c r="D1327" s="3" t="n">
        <v>34</v>
      </c>
      <c r="E1327" s="3" t="inlineStr">
        <is>
          <t>S26-34</t>
        </is>
      </c>
    </row>
    <row r="1328">
      <c r="A1328" s="2" t="n">
        <v>46253</v>
      </c>
      <c r="B1328" s="3" t="n">
        <v>2026</v>
      </c>
      <c r="C1328" s="3" t="n">
        <v>8</v>
      </c>
      <c r="D1328" s="3" t="n">
        <v>34</v>
      </c>
      <c r="E1328" s="3" t="inlineStr">
        <is>
          <t>S26-34</t>
        </is>
      </c>
    </row>
    <row r="1329">
      <c r="A1329" s="2" t="n">
        <v>46254</v>
      </c>
      <c r="B1329" s="3" t="n">
        <v>2026</v>
      </c>
      <c r="C1329" s="3" t="n">
        <v>8</v>
      </c>
      <c r="D1329" s="3" t="n">
        <v>34</v>
      </c>
      <c r="E1329" s="3" t="inlineStr">
        <is>
          <t>S26-34</t>
        </is>
      </c>
    </row>
    <row r="1330">
      <c r="A1330" s="2" t="n">
        <v>46255</v>
      </c>
      <c r="B1330" s="3" t="n">
        <v>2026</v>
      </c>
      <c r="C1330" s="3" t="n">
        <v>8</v>
      </c>
      <c r="D1330" s="3" t="n">
        <v>34</v>
      </c>
      <c r="E1330" s="3" t="inlineStr">
        <is>
          <t>S26-34</t>
        </is>
      </c>
    </row>
    <row r="1331">
      <c r="A1331" s="2" t="n">
        <v>46256</v>
      </c>
      <c r="B1331" s="3" t="n">
        <v>2026</v>
      </c>
      <c r="C1331" s="3" t="n">
        <v>8</v>
      </c>
      <c r="D1331" s="3" t="n">
        <v>34</v>
      </c>
      <c r="E1331" s="3" t="inlineStr">
        <is>
          <t>S26-34</t>
        </is>
      </c>
    </row>
    <row r="1332">
      <c r="A1332" s="2" t="n">
        <v>46257</v>
      </c>
      <c r="B1332" s="3" t="n">
        <v>2026</v>
      </c>
      <c r="C1332" s="3" t="n">
        <v>8</v>
      </c>
      <c r="D1332" s="3" t="n">
        <v>34</v>
      </c>
      <c r="E1332" s="3" t="inlineStr">
        <is>
          <t>S26-34</t>
        </is>
      </c>
    </row>
    <row r="1333">
      <c r="A1333" s="2" t="n">
        <v>46258</v>
      </c>
      <c r="B1333" s="3" t="n">
        <v>2026</v>
      </c>
      <c r="C1333" s="3" t="n">
        <v>8</v>
      </c>
      <c r="D1333" s="3" t="n">
        <v>35</v>
      </c>
      <c r="E1333" s="3" t="inlineStr">
        <is>
          <t>S26-35</t>
        </is>
      </c>
    </row>
    <row r="1334">
      <c r="A1334" s="2" t="n">
        <v>46259</v>
      </c>
      <c r="B1334" s="3" t="n">
        <v>2026</v>
      </c>
      <c r="C1334" s="3" t="n">
        <v>8</v>
      </c>
      <c r="D1334" s="3" t="n">
        <v>35</v>
      </c>
      <c r="E1334" s="3" t="inlineStr">
        <is>
          <t>S26-35</t>
        </is>
      </c>
    </row>
    <row r="1335">
      <c r="A1335" s="2" t="n">
        <v>46260</v>
      </c>
      <c r="B1335" s="3" t="n">
        <v>2026</v>
      </c>
      <c r="C1335" s="3" t="n">
        <v>8</v>
      </c>
      <c r="D1335" s="3" t="n">
        <v>35</v>
      </c>
      <c r="E1335" s="3" t="inlineStr">
        <is>
          <t>S26-35</t>
        </is>
      </c>
    </row>
    <row r="1336">
      <c r="A1336" s="2" t="n">
        <v>46261</v>
      </c>
      <c r="B1336" s="3" t="n">
        <v>2026</v>
      </c>
      <c r="C1336" s="3" t="n">
        <v>8</v>
      </c>
      <c r="D1336" s="3" t="n">
        <v>35</v>
      </c>
      <c r="E1336" s="3" t="inlineStr">
        <is>
          <t>S26-35</t>
        </is>
      </c>
    </row>
    <row r="1337">
      <c r="A1337" s="2" t="n">
        <v>46262</v>
      </c>
      <c r="B1337" s="3" t="n">
        <v>2026</v>
      </c>
      <c r="C1337" s="3" t="n">
        <v>8</v>
      </c>
      <c r="D1337" s="3" t="n">
        <v>35</v>
      </c>
      <c r="E1337" s="3" t="inlineStr">
        <is>
          <t>S26-35</t>
        </is>
      </c>
    </row>
    <row r="1338">
      <c r="A1338" s="2" t="n">
        <v>46263</v>
      </c>
      <c r="B1338" s="3" t="n">
        <v>2026</v>
      </c>
      <c r="C1338" s="3" t="n">
        <v>8</v>
      </c>
      <c r="D1338" s="3" t="n">
        <v>35</v>
      </c>
      <c r="E1338" s="3" t="inlineStr">
        <is>
          <t>S26-35</t>
        </is>
      </c>
    </row>
    <row r="1339">
      <c r="A1339" s="2" t="n">
        <v>46264</v>
      </c>
      <c r="B1339" s="3" t="n">
        <v>2026</v>
      </c>
      <c r="C1339" s="3" t="n">
        <v>8</v>
      </c>
      <c r="D1339" s="3" t="n">
        <v>35</v>
      </c>
      <c r="E1339" s="3" t="inlineStr">
        <is>
          <t>S26-35</t>
        </is>
      </c>
    </row>
    <row r="1340">
      <c r="A1340" s="2" t="n">
        <v>46265</v>
      </c>
      <c r="B1340" s="3" t="n">
        <v>2026</v>
      </c>
      <c r="C1340" s="3" t="n">
        <v>8</v>
      </c>
      <c r="D1340" s="3" t="n">
        <v>36</v>
      </c>
      <c r="E1340" s="3" t="inlineStr">
        <is>
          <t>S26-36</t>
        </is>
      </c>
    </row>
    <row r="1341">
      <c r="A1341" s="2" t="n">
        <v>46266</v>
      </c>
      <c r="B1341" s="3" t="n">
        <v>2026</v>
      </c>
      <c r="C1341" s="3" t="n">
        <v>9</v>
      </c>
      <c r="D1341" s="3" t="n">
        <v>36</v>
      </c>
      <c r="E1341" s="3" t="inlineStr">
        <is>
          <t>S26-36</t>
        </is>
      </c>
    </row>
    <row r="1342">
      <c r="A1342" s="2" t="n">
        <v>46267</v>
      </c>
      <c r="B1342" s="3" t="n">
        <v>2026</v>
      </c>
      <c r="C1342" s="3" t="n">
        <v>9</v>
      </c>
      <c r="D1342" s="3" t="n">
        <v>36</v>
      </c>
      <c r="E1342" s="3" t="inlineStr">
        <is>
          <t>S26-36</t>
        </is>
      </c>
    </row>
    <row r="1343">
      <c r="A1343" s="2" t="n">
        <v>46268</v>
      </c>
      <c r="B1343" s="3" t="n">
        <v>2026</v>
      </c>
      <c r="C1343" s="3" t="n">
        <v>9</v>
      </c>
      <c r="D1343" s="3" t="n">
        <v>36</v>
      </c>
      <c r="E1343" s="3" t="inlineStr">
        <is>
          <t>S26-36</t>
        </is>
      </c>
    </row>
    <row r="1344">
      <c r="A1344" s="2" t="n">
        <v>46269</v>
      </c>
      <c r="B1344" s="3" t="n">
        <v>2026</v>
      </c>
      <c r="C1344" s="3" t="n">
        <v>9</v>
      </c>
      <c r="D1344" s="3" t="n">
        <v>36</v>
      </c>
      <c r="E1344" s="3" t="inlineStr">
        <is>
          <t>S26-36</t>
        </is>
      </c>
    </row>
    <row r="1345">
      <c r="A1345" s="2" t="n">
        <v>46270</v>
      </c>
      <c r="B1345" s="3" t="n">
        <v>2026</v>
      </c>
      <c r="C1345" s="3" t="n">
        <v>9</v>
      </c>
      <c r="D1345" s="3" t="n">
        <v>36</v>
      </c>
      <c r="E1345" s="3" t="inlineStr">
        <is>
          <t>S26-36</t>
        </is>
      </c>
    </row>
    <row r="1346">
      <c r="A1346" s="2" t="n">
        <v>46271</v>
      </c>
      <c r="B1346" s="3" t="n">
        <v>2026</v>
      </c>
      <c r="C1346" s="3" t="n">
        <v>9</v>
      </c>
      <c r="D1346" s="3" t="n">
        <v>36</v>
      </c>
      <c r="E1346" s="3" t="inlineStr">
        <is>
          <t>S26-36</t>
        </is>
      </c>
    </row>
    <row r="1347">
      <c r="A1347" s="2" t="n">
        <v>46272</v>
      </c>
      <c r="B1347" s="3" t="n">
        <v>2026</v>
      </c>
      <c r="C1347" s="3" t="n">
        <v>9</v>
      </c>
      <c r="D1347" s="3" t="n">
        <v>37</v>
      </c>
      <c r="E1347" s="3" t="inlineStr">
        <is>
          <t>S26-37</t>
        </is>
      </c>
    </row>
    <row r="1348">
      <c r="A1348" s="2" t="n">
        <v>46273</v>
      </c>
      <c r="B1348" s="3" t="n">
        <v>2026</v>
      </c>
      <c r="C1348" s="3" t="n">
        <v>9</v>
      </c>
      <c r="D1348" s="3" t="n">
        <v>37</v>
      </c>
      <c r="E1348" s="3" t="inlineStr">
        <is>
          <t>S26-37</t>
        </is>
      </c>
    </row>
    <row r="1349">
      <c r="A1349" s="2" t="n">
        <v>46274</v>
      </c>
      <c r="B1349" s="3" t="n">
        <v>2026</v>
      </c>
      <c r="C1349" s="3" t="n">
        <v>9</v>
      </c>
      <c r="D1349" s="3" t="n">
        <v>37</v>
      </c>
      <c r="E1349" s="3" t="inlineStr">
        <is>
          <t>S26-37</t>
        </is>
      </c>
    </row>
    <row r="1350">
      <c r="A1350" s="2" t="n">
        <v>46275</v>
      </c>
      <c r="B1350" s="3" t="n">
        <v>2026</v>
      </c>
      <c r="C1350" s="3" t="n">
        <v>9</v>
      </c>
      <c r="D1350" s="3" t="n">
        <v>37</v>
      </c>
      <c r="E1350" s="3" t="inlineStr">
        <is>
          <t>S26-37</t>
        </is>
      </c>
    </row>
    <row r="1351">
      <c r="A1351" s="2" t="n">
        <v>46276</v>
      </c>
      <c r="B1351" s="3" t="n">
        <v>2026</v>
      </c>
      <c r="C1351" s="3" t="n">
        <v>9</v>
      </c>
      <c r="D1351" s="3" t="n">
        <v>37</v>
      </c>
      <c r="E1351" s="3" t="inlineStr">
        <is>
          <t>S26-37</t>
        </is>
      </c>
    </row>
    <row r="1352">
      <c r="A1352" s="2" t="n">
        <v>46277</v>
      </c>
      <c r="B1352" s="3" t="n">
        <v>2026</v>
      </c>
      <c r="C1352" s="3" t="n">
        <v>9</v>
      </c>
      <c r="D1352" s="3" t="n">
        <v>37</v>
      </c>
      <c r="E1352" s="3" t="inlineStr">
        <is>
          <t>S26-37</t>
        </is>
      </c>
    </row>
    <row r="1353">
      <c r="A1353" s="2" t="n">
        <v>46278</v>
      </c>
      <c r="B1353" s="3" t="n">
        <v>2026</v>
      </c>
      <c r="C1353" s="3" t="n">
        <v>9</v>
      </c>
      <c r="D1353" s="3" t="n">
        <v>37</v>
      </c>
      <c r="E1353" s="3" t="inlineStr">
        <is>
          <t>S26-37</t>
        </is>
      </c>
    </row>
    <row r="1354">
      <c r="A1354" s="2" t="n">
        <v>46279</v>
      </c>
      <c r="B1354" s="3" t="n">
        <v>2026</v>
      </c>
      <c r="C1354" s="3" t="n">
        <v>9</v>
      </c>
      <c r="D1354" s="3" t="n">
        <v>38</v>
      </c>
      <c r="E1354" s="3" t="inlineStr">
        <is>
          <t>S26-38</t>
        </is>
      </c>
    </row>
    <row r="1355">
      <c r="A1355" s="2" t="n">
        <v>46280</v>
      </c>
      <c r="B1355" s="3" t="n">
        <v>2026</v>
      </c>
      <c r="C1355" s="3" t="n">
        <v>9</v>
      </c>
      <c r="D1355" s="3" t="n">
        <v>38</v>
      </c>
      <c r="E1355" s="3" t="inlineStr">
        <is>
          <t>S26-38</t>
        </is>
      </c>
    </row>
    <row r="1356">
      <c r="A1356" s="2" t="n">
        <v>46281</v>
      </c>
      <c r="B1356" s="3" t="n">
        <v>2026</v>
      </c>
      <c r="C1356" s="3" t="n">
        <v>9</v>
      </c>
      <c r="D1356" s="3" t="n">
        <v>38</v>
      </c>
      <c r="E1356" s="3" t="inlineStr">
        <is>
          <t>S26-38</t>
        </is>
      </c>
    </row>
    <row r="1357">
      <c r="A1357" s="2" t="n">
        <v>46282</v>
      </c>
      <c r="B1357" s="3" t="n">
        <v>2026</v>
      </c>
      <c r="C1357" s="3" t="n">
        <v>9</v>
      </c>
      <c r="D1357" s="3" t="n">
        <v>38</v>
      </c>
      <c r="E1357" s="3" t="inlineStr">
        <is>
          <t>S26-38</t>
        </is>
      </c>
    </row>
    <row r="1358">
      <c r="A1358" s="2" t="n">
        <v>46283</v>
      </c>
      <c r="B1358" s="3" t="n">
        <v>2026</v>
      </c>
      <c r="C1358" s="3" t="n">
        <v>9</v>
      </c>
      <c r="D1358" s="3" t="n">
        <v>38</v>
      </c>
      <c r="E1358" s="3" t="inlineStr">
        <is>
          <t>S26-38</t>
        </is>
      </c>
    </row>
    <row r="1359">
      <c r="A1359" s="2" t="n">
        <v>46284</v>
      </c>
      <c r="B1359" s="3" t="n">
        <v>2026</v>
      </c>
      <c r="C1359" s="3" t="n">
        <v>9</v>
      </c>
      <c r="D1359" s="3" t="n">
        <v>38</v>
      </c>
      <c r="E1359" s="3" t="inlineStr">
        <is>
          <t>S26-38</t>
        </is>
      </c>
    </row>
    <row r="1360">
      <c r="A1360" s="2" t="n">
        <v>46285</v>
      </c>
      <c r="B1360" s="3" t="n">
        <v>2026</v>
      </c>
      <c r="C1360" s="3" t="n">
        <v>9</v>
      </c>
      <c r="D1360" s="3" t="n">
        <v>38</v>
      </c>
      <c r="E1360" s="3" t="inlineStr">
        <is>
          <t>S26-38</t>
        </is>
      </c>
    </row>
    <row r="1361">
      <c r="A1361" s="2" t="n">
        <v>46286</v>
      </c>
      <c r="B1361" s="3" t="n">
        <v>2026</v>
      </c>
      <c r="C1361" s="3" t="n">
        <v>9</v>
      </c>
      <c r="D1361" s="3" t="n">
        <v>39</v>
      </c>
      <c r="E1361" s="3" t="inlineStr">
        <is>
          <t>S26-39</t>
        </is>
      </c>
    </row>
    <row r="1362">
      <c r="A1362" s="2" t="n">
        <v>46287</v>
      </c>
      <c r="B1362" s="3" t="n">
        <v>2026</v>
      </c>
      <c r="C1362" s="3" t="n">
        <v>9</v>
      </c>
      <c r="D1362" s="3" t="n">
        <v>39</v>
      </c>
      <c r="E1362" s="3" t="inlineStr">
        <is>
          <t>S26-39</t>
        </is>
      </c>
    </row>
    <row r="1363">
      <c r="A1363" s="2" t="n">
        <v>46288</v>
      </c>
      <c r="B1363" s="3" t="n">
        <v>2026</v>
      </c>
      <c r="C1363" s="3" t="n">
        <v>9</v>
      </c>
      <c r="D1363" s="3" t="n">
        <v>39</v>
      </c>
      <c r="E1363" s="3" t="inlineStr">
        <is>
          <t>S26-39</t>
        </is>
      </c>
    </row>
    <row r="1364">
      <c r="A1364" s="2" t="n">
        <v>46289</v>
      </c>
      <c r="B1364" s="3" t="n">
        <v>2026</v>
      </c>
      <c r="C1364" s="3" t="n">
        <v>9</v>
      </c>
      <c r="D1364" s="3" t="n">
        <v>39</v>
      </c>
      <c r="E1364" s="3" t="inlineStr">
        <is>
          <t>S26-39</t>
        </is>
      </c>
    </row>
    <row r="1365">
      <c r="A1365" s="2" t="n">
        <v>46290</v>
      </c>
      <c r="B1365" s="3" t="n">
        <v>2026</v>
      </c>
      <c r="C1365" s="3" t="n">
        <v>9</v>
      </c>
      <c r="D1365" s="3" t="n">
        <v>39</v>
      </c>
      <c r="E1365" s="3" t="inlineStr">
        <is>
          <t>S26-39</t>
        </is>
      </c>
    </row>
    <row r="1366">
      <c r="A1366" s="2" t="n">
        <v>46291</v>
      </c>
      <c r="B1366" s="3" t="n">
        <v>2026</v>
      </c>
      <c r="C1366" s="3" t="n">
        <v>9</v>
      </c>
      <c r="D1366" s="3" t="n">
        <v>39</v>
      </c>
      <c r="E1366" s="3" t="inlineStr">
        <is>
          <t>S26-39</t>
        </is>
      </c>
    </row>
    <row r="1367">
      <c r="A1367" s="2" t="n">
        <v>46292</v>
      </c>
      <c r="B1367" s="3" t="n">
        <v>2026</v>
      </c>
      <c r="C1367" s="3" t="n">
        <v>9</v>
      </c>
      <c r="D1367" s="3" t="n">
        <v>39</v>
      </c>
      <c r="E1367" s="3" t="inlineStr">
        <is>
          <t>S26-39</t>
        </is>
      </c>
    </row>
    <row r="1368">
      <c r="A1368" s="2" t="n">
        <v>46293</v>
      </c>
      <c r="B1368" s="3" t="n">
        <v>2026</v>
      </c>
      <c r="C1368" s="3" t="n">
        <v>9</v>
      </c>
      <c r="D1368" s="3" t="n">
        <v>40</v>
      </c>
      <c r="E1368" s="3" t="inlineStr">
        <is>
          <t>S26-40</t>
        </is>
      </c>
    </row>
    <row r="1369">
      <c r="A1369" s="2" t="n">
        <v>46294</v>
      </c>
      <c r="B1369" s="3" t="n">
        <v>2026</v>
      </c>
      <c r="C1369" s="3" t="n">
        <v>9</v>
      </c>
      <c r="D1369" s="3" t="n">
        <v>40</v>
      </c>
      <c r="E1369" s="3" t="inlineStr">
        <is>
          <t>S26-40</t>
        </is>
      </c>
    </row>
    <row r="1370">
      <c r="A1370" s="2" t="n">
        <v>46295</v>
      </c>
      <c r="B1370" s="3" t="n">
        <v>2026</v>
      </c>
      <c r="C1370" s="3" t="n">
        <v>9</v>
      </c>
      <c r="D1370" s="3" t="n">
        <v>40</v>
      </c>
      <c r="E1370" s="3" t="inlineStr">
        <is>
          <t>S26-40</t>
        </is>
      </c>
    </row>
    <row r="1371">
      <c r="A1371" s="2" t="n">
        <v>46296</v>
      </c>
      <c r="B1371" s="3" t="n">
        <v>2026</v>
      </c>
      <c r="C1371" s="3" t="n">
        <v>10</v>
      </c>
      <c r="D1371" s="3" t="n">
        <v>40</v>
      </c>
      <c r="E1371" s="3" t="inlineStr">
        <is>
          <t>S26-40</t>
        </is>
      </c>
    </row>
    <row r="1372">
      <c r="A1372" s="2" t="n">
        <v>46297</v>
      </c>
      <c r="B1372" s="3" t="n">
        <v>2026</v>
      </c>
      <c r="C1372" s="3" t="n">
        <v>10</v>
      </c>
      <c r="D1372" s="3" t="n">
        <v>40</v>
      </c>
      <c r="E1372" s="3" t="inlineStr">
        <is>
          <t>S26-40</t>
        </is>
      </c>
    </row>
    <row r="1373">
      <c r="A1373" s="2" t="n">
        <v>46298</v>
      </c>
      <c r="B1373" s="3" t="n">
        <v>2026</v>
      </c>
      <c r="C1373" s="3" t="n">
        <v>10</v>
      </c>
      <c r="D1373" s="3" t="n">
        <v>40</v>
      </c>
      <c r="E1373" s="3" t="inlineStr">
        <is>
          <t>S26-40</t>
        </is>
      </c>
    </row>
    <row r="1374">
      <c r="A1374" s="2" t="n">
        <v>46299</v>
      </c>
      <c r="B1374" s="3" t="n">
        <v>2026</v>
      </c>
      <c r="C1374" s="3" t="n">
        <v>10</v>
      </c>
      <c r="D1374" s="3" t="n">
        <v>40</v>
      </c>
      <c r="E1374" s="3" t="inlineStr">
        <is>
          <t>S26-40</t>
        </is>
      </c>
    </row>
    <row r="1375">
      <c r="A1375" s="2" t="n">
        <v>46300</v>
      </c>
      <c r="B1375" s="3" t="n">
        <v>2026</v>
      </c>
      <c r="C1375" s="3" t="n">
        <v>10</v>
      </c>
      <c r="D1375" s="3" t="n">
        <v>41</v>
      </c>
      <c r="E1375" s="3" t="inlineStr">
        <is>
          <t>S26-41</t>
        </is>
      </c>
    </row>
    <row r="1376">
      <c r="A1376" s="2" t="n">
        <v>46301</v>
      </c>
      <c r="B1376" s="3" t="n">
        <v>2026</v>
      </c>
      <c r="C1376" s="3" t="n">
        <v>10</v>
      </c>
      <c r="D1376" s="3" t="n">
        <v>41</v>
      </c>
      <c r="E1376" s="3" t="inlineStr">
        <is>
          <t>S26-41</t>
        </is>
      </c>
    </row>
    <row r="1377">
      <c r="A1377" s="2" t="n">
        <v>46302</v>
      </c>
      <c r="B1377" s="3" t="n">
        <v>2026</v>
      </c>
      <c r="C1377" s="3" t="n">
        <v>10</v>
      </c>
      <c r="D1377" s="3" t="n">
        <v>41</v>
      </c>
      <c r="E1377" s="3" t="inlineStr">
        <is>
          <t>S26-41</t>
        </is>
      </c>
    </row>
    <row r="1378">
      <c r="A1378" s="2" t="n">
        <v>46303</v>
      </c>
      <c r="B1378" s="3" t="n">
        <v>2026</v>
      </c>
      <c r="C1378" s="3" t="n">
        <v>10</v>
      </c>
      <c r="D1378" s="3" t="n">
        <v>41</v>
      </c>
      <c r="E1378" s="3" t="inlineStr">
        <is>
          <t>S26-41</t>
        </is>
      </c>
    </row>
    <row r="1379">
      <c r="A1379" s="2" t="n">
        <v>46304</v>
      </c>
      <c r="B1379" s="3" t="n">
        <v>2026</v>
      </c>
      <c r="C1379" s="3" t="n">
        <v>10</v>
      </c>
      <c r="D1379" s="3" t="n">
        <v>41</v>
      </c>
      <c r="E1379" s="3" t="inlineStr">
        <is>
          <t>S26-41</t>
        </is>
      </c>
    </row>
    <row r="1380">
      <c r="A1380" s="2" t="n">
        <v>46305</v>
      </c>
      <c r="B1380" s="3" t="n">
        <v>2026</v>
      </c>
      <c r="C1380" s="3" t="n">
        <v>10</v>
      </c>
      <c r="D1380" s="3" t="n">
        <v>41</v>
      </c>
      <c r="E1380" s="3" t="inlineStr">
        <is>
          <t>S26-41</t>
        </is>
      </c>
    </row>
    <row r="1381">
      <c r="A1381" s="2" t="n">
        <v>46306</v>
      </c>
      <c r="B1381" s="3" t="n">
        <v>2026</v>
      </c>
      <c r="C1381" s="3" t="n">
        <v>10</v>
      </c>
      <c r="D1381" s="3" t="n">
        <v>41</v>
      </c>
      <c r="E1381" s="3" t="inlineStr">
        <is>
          <t>S26-41</t>
        </is>
      </c>
    </row>
    <row r="1382">
      <c r="A1382" s="2" t="n">
        <v>46307</v>
      </c>
      <c r="B1382" s="3" t="n">
        <v>2026</v>
      </c>
      <c r="C1382" s="3" t="n">
        <v>10</v>
      </c>
      <c r="D1382" s="3" t="n">
        <v>42</v>
      </c>
      <c r="E1382" s="3" t="inlineStr">
        <is>
          <t>S26-42</t>
        </is>
      </c>
    </row>
    <row r="1383">
      <c r="A1383" s="2" t="n">
        <v>46308</v>
      </c>
      <c r="B1383" s="3" t="n">
        <v>2026</v>
      </c>
      <c r="C1383" s="3" t="n">
        <v>10</v>
      </c>
      <c r="D1383" s="3" t="n">
        <v>42</v>
      </c>
      <c r="E1383" s="3" t="inlineStr">
        <is>
          <t>S26-42</t>
        </is>
      </c>
    </row>
    <row r="1384">
      <c r="A1384" s="2" t="n">
        <v>46309</v>
      </c>
      <c r="B1384" s="3" t="n">
        <v>2026</v>
      </c>
      <c r="C1384" s="3" t="n">
        <v>10</v>
      </c>
      <c r="D1384" s="3" t="n">
        <v>42</v>
      </c>
      <c r="E1384" s="3" t="inlineStr">
        <is>
          <t>S26-42</t>
        </is>
      </c>
    </row>
    <row r="1385">
      <c r="A1385" s="2" t="n">
        <v>46310</v>
      </c>
      <c r="B1385" s="3" t="n">
        <v>2026</v>
      </c>
      <c r="C1385" s="3" t="n">
        <v>10</v>
      </c>
      <c r="D1385" s="3" t="n">
        <v>42</v>
      </c>
      <c r="E1385" s="3" t="inlineStr">
        <is>
          <t>S26-42</t>
        </is>
      </c>
    </row>
    <row r="1386">
      <c r="A1386" s="2" t="n">
        <v>46311</v>
      </c>
      <c r="B1386" s="3" t="n">
        <v>2026</v>
      </c>
      <c r="C1386" s="3" t="n">
        <v>10</v>
      </c>
      <c r="D1386" s="3" t="n">
        <v>42</v>
      </c>
      <c r="E1386" s="3" t="inlineStr">
        <is>
          <t>S26-42</t>
        </is>
      </c>
    </row>
    <row r="1387">
      <c r="A1387" s="2" t="n">
        <v>46312</v>
      </c>
      <c r="B1387" s="3" t="n">
        <v>2026</v>
      </c>
      <c r="C1387" s="3" t="n">
        <v>10</v>
      </c>
      <c r="D1387" s="3" t="n">
        <v>42</v>
      </c>
      <c r="E1387" s="3" t="inlineStr">
        <is>
          <t>S26-42</t>
        </is>
      </c>
    </row>
    <row r="1388">
      <c r="A1388" s="2" t="n">
        <v>46313</v>
      </c>
      <c r="B1388" s="3" t="n">
        <v>2026</v>
      </c>
      <c r="C1388" s="3" t="n">
        <v>10</v>
      </c>
      <c r="D1388" s="3" t="n">
        <v>42</v>
      </c>
      <c r="E1388" s="3" t="inlineStr">
        <is>
          <t>S26-42</t>
        </is>
      </c>
    </row>
    <row r="1389">
      <c r="A1389" s="2" t="n">
        <v>46314</v>
      </c>
      <c r="B1389" s="3" t="n">
        <v>2026</v>
      </c>
      <c r="C1389" s="3" t="n">
        <v>10</v>
      </c>
      <c r="D1389" s="3" t="n">
        <v>43</v>
      </c>
      <c r="E1389" s="3" t="inlineStr">
        <is>
          <t>S26-43</t>
        </is>
      </c>
    </row>
    <row r="1390">
      <c r="A1390" s="2" t="n">
        <v>46315</v>
      </c>
      <c r="B1390" s="3" t="n">
        <v>2026</v>
      </c>
      <c r="C1390" s="3" t="n">
        <v>10</v>
      </c>
      <c r="D1390" s="3" t="n">
        <v>43</v>
      </c>
      <c r="E1390" s="3" t="inlineStr">
        <is>
          <t>S26-43</t>
        </is>
      </c>
    </row>
    <row r="1391">
      <c r="A1391" s="2" t="n">
        <v>46316</v>
      </c>
      <c r="B1391" s="3" t="n">
        <v>2026</v>
      </c>
      <c r="C1391" s="3" t="n">
        <v>10</v>
      </c>
      <c r="D1391" s="3" t="n">
        <v>43</v>
      </c>
      <c r="E1391" s="3" t="inlineStr">
        <is>
          <t>S26-43</t>
        </is>
      </c>
    </row>
    <row r="1392">
      <c r="A1392" s="2" t="n">
        <v>46317</v>
      </c>
      <c r="B1392" s="3" t="n">
        <v>2026</v>
      </c>
      <c r="C1392" s="3" t="n">
        <v>10</v>
      </c>
      <c r="D1392" s="3" t="n">
        <v>43</v>
      </c>
      <c r="E1392" s="3" t="inlineStr">
        <is>
          <t>S26-43</t>
        </is>
      </c>
    </row>
    <row r="1393">
      <c r="A1393" s="2" t="n">
        <v>46318</v>
      </c>
      <c r="B1393" s="3" t="n">
        <v>2026</v>
      </c>
      <c r="C1393" s="3" t="n">
        <v>10</v>
      </c>
      <c r="D1393" s="3" t="n">
        <v>43</v>
      </c>
      <c r="E1393" s="3" t="inlineStr">
        <is>
          <t>S26-43</t>
        </is>
      </c>
    </row>
    <row r="1394">
      <c r="A1394" s="2" t="n">
        <v>46319</v>
      </c>
      <c r="B1394" s="3" t="n">
        <v>2026</v>
      </c>
      <c r="C1394" s="3" t="n">
        <v>10</v>
      </c>
      <c r="D1394" s="3" t="n">
        <v>43</v>
      </c>
      <c r="E1394" s="3" t="inlineStr">
        <is>
          <t>S26-43</t>
        </is>
      </c>
    </row>
    <row r="1395">
      <c r="A1395" s="2" t="n">
        <v>46320</v>
      </c>
      <c r="B1395" s="3" t="n">
        <v>2026</v>
      </c>
      <c r="C1395" s="3" t="n">
        <v>10</v>
      </c>
      <c r="D1395" s="3" t="n">
        <v>43</v>
      </c>
      <c r="E1395" s="3" t="inlineStr">
        <is>
          <t>S26-43</t>
        </is>
      </c>
    </row>
    <row r="1396">
      <c r="A1396" s="2" t="n">
        <v>46321</v>
      </c>
      <c r="B1396" s="3" t="n">
        <v>2026</v>
      </c>
      <c r="C1396" s="3" t="n">
        <v>10</v>
      </c>
      <c r="D1396" s="3" t="n">
        <v>44</v>
      </c>
      <c r="E1396" s="3" t="inlineStr">
        <is>
          <t>S26-44</t>
        </is>
      </c>
    </row>
    <row r="1397">
      <c r="A1397" s="2" t="n">
        <v>46322</v>
      </c>
      <c r="B1397" s="3" t="n">
        <v>2026</v>
      </c>
      <c r="C1397" s="3" t="n">
        <v>10</v>
      </c>
      <c r="D1397" s="3" t="n">
        <v>44</v>
      </c>
      <c r="E1397" s="3" t="inlineStr">
        <is>
          <t>S26-44</t>
        </is>
      </c>
    </row>
    <row r="1398">
      <c r="A1398" s="2" t="n">
        <v>46323</v>
      </c>
      <c r="B1398" s="3" t="n">
        <v>2026</v>
      </c>
      <c r="C1398" s="3" t="n">
        <v>10</v>
      </c>
      <c r="D1398" s="3" t="n">
        <v>44</v>
      </c>
      <c r="E1398" s="3" t="inlineStr">
        <is>
          <t>S26-44</t>
        </is>
      </c>
    </row>
    <row r="1399">
      <c r="A1399" s="2" t="n">
        <v>46324</v>
      </c>
      <c r="B1399" s="3" t="n">
        <v>2026</v>
      </c>
      <c r="C1399" s="3" t="n">
        <v>10</v>
      </c>
      <c r="D1399" s="3" t="n">
        <v>44</v>
      </c>
      <c r="E1399" s="3" t="inlineStr">
        <is>
          <t>S26-44</t>
        </is>
      </c>
    </row>
    <row r="1400">
      <c r="A1400" s="2" t="n">
        <v>46325</v>
      </c>
      <c r="B1400" s="3" t="n">
        <v>2026</v>
      </c>
      <c r="C1400" s="3" t="n">
        <v>10</v>
      </c>
      <c r="D1400" s="3" t="n">
        <v>44</v>
      </c>
      <c r="E1400" s="3" t="inlineStr">
        <is>
          <t>S26-44</t>
        </is>
      </c>
    </row>
    <row r="1401">
      <c r="A1401" s="2" t="n">
        <v>46326</v>
      </c>
      <c r="B1401" s="3" t="n">
        <v>2026</v>
      </c>
      <c r="C1401" s="3" t="n">
        <v>10</v>
      </c>
      <c r="D1401" s="3" t="n">
        <v>44</v>
      </c>
      <c r="E1401" s="3" t="inlineStr">
        <is>
          <t>S26-44</t>
        </is>
      </c>
    </row>
    <row r="1402">
      <c r="A1402" s="2" t="n">
        <v>46327</v>
      </c>
      <c r="B1402" s="3" t="n">
        <v>2026</v>
      </c>
      <c r="C1402" s="3" t="n">
        <v>11</v>
      </c>
      <c r="D1402" s="3" t="n">
        <v>44</v>
      </c>
      <c r="E1402" s="3" t="inlineStr">
        <is>
          <t>S26-44</t>
        </is>
      </c>
    </row>
    <row r="1403">
      <c r="A1403" s="2" t="n">
        <v>46328</v>
      </c>
      <c r="B1403" s="3" t="n">
        <v>2026</v>
      </c>
      <c r="C1403" s="3" t="n">
        <v>11</v>
      </c>
      <c r="D1403" s="3" t="n">
        <v>45</v>
      </c>
      <c r="E1403" s="3" t="inlineStr">
        <is>
          <t>S26-45</t>
        </is>
      </c>
    </row>
    <row r="1404">
      <c r="A1404" s="2" t="n">
        <v>46329</v>
      </c>
      <c r="B1404" s="3" t="n">
        <v>2026</v>
      </c>
      <c r="C1404" s="3" t="n">
        <v>11</v>
      </c>
      <c r="D1404" s="3" t="n">
        <v>45</v>
      </c>
      <c r="E1404" s="3" t="inlineStr">
        <is>
          <t>S26-45</t>
        </is>
      </c>
    </row>
    <row r="1405">
      <c r="A1405" s="2" t="n">
        <v>46330</v>
      </c>
      <c r="B1405" s="3" t="n">
        <v>2026</v>
      </c>
      <c r="C1405" s="3" t="n">
        <v>11</v>
      </c>
      <c r="D1405" s="3" t="n">
        <v>45</v>
      </c>
      <c r="E1405" s="3" t="inlineStr">
        <is>
          <t>S26-45</t>
        </is>
      </c>
    </row>
    <row r="1406">
      <c r="A1406" s="2" t="n">
        <v>46331</v>
      </c>
      <c r="B1406" s="3" t="n">
        <v>2026</v>
      </c>
      <c r="C1406" s="3" t="n">
        <v>11</v>
      </c>
      <c r="D1406" s="3" t="n">
        <v>45</v>
      </c>
      <c r="E1406" s="3" t="inlineStr">
        <is>
          <t>S26-45</t>
        </is>
      </c>
    </row>
    <row r="1407">
      <c r="A1407" s="2" t="n">
        <v>46332</v>
      </c>
      <c r="B1407" s="3" t="n">
        <v>2026</v>
      </c>
      <c r="C1407" s="3" t="n">
        <v>11</v>
      </c>
      <c r="D1407" s="3" t="n">
        <v>45</v>
      </c>
      <c r="E1407" s="3" t="inlineStr">
        <is>
          <t>S26-45</t>
        </is>
      </c>
    </row>
    <row r="1408">
      <c r="A1408" s="2" t="n">
        <v>46333</v>
      </c>
      <c r="B1408" s="3" t="n">
        <v>2026</v>
      </c>
      <c r="C1408" s="3" t="n">
        <v>11</v>
      </c>
      <c r="D1408" s="3" t="n">
        <v>45</v>
      </c>
      <c r="E1408" s="3" t="inlineStr">
        <is>
          <t>S26-45</t>
        </is>
      </c>
    </row>
    <row r="1409">
      <c r="A1409" s="2" t="n">
        <v>46334</v>
      </c>
      <c r="B1409" s="3" t="n">
        <v>2026</v>
      </c>
      <c r="C1409" s="3" t="n">
        <v>11</v>
      </c>
      <c r="D1409" s="3" t="n">
        <v>45</v>
      </c>
      <c r="E1409" s="3" t="inlineStr">
        <is>
          <t>S26-45</t>
        </is>
      </c>
    </row>
    <row r="1410">
      <c r="A1410" s="2" t="n">
        <v>46335</v>
      </c>
      <c r="B1410" s="3" t="n">
        <v>2026</v>
      </c>
      <c r="C1410" s="3" t="n">
        <v>11</v>
      </c>
      <c r="D1410" s="3" t="n">
        <v>46</v>
      </c>
      <c r="E1410" s="3" t="inlineStr">
        <is>
          <t>S26-46</t>
        </is>
      </c>
    </row>
    <row r="1411">
      <c r="A1411" s="2" t="n">
        <v>46336</v>
      </c>
      <c r="B1411" s="3" t="n">
        <v>2026</v>
      </c>
      <c r="C1411" s="3" t="n">
        <v>11</v>
      </c>
      <c r="D1411" s="3" t="n">
        <v>46</v>
      </c>
      <c r="E1411" s="3" t="inlineStr">
        <is>
          <t>S26-46</t>
        </is>
      </c>
    </row>
    <row r="1412">
      <c r="A1412" s="2" t="n">
        <v>46337</v>
      </c>
      <c r="B1412" s="3" t="n">
        <v>2026</v>
      </c>
      <c r="C1412" s="3" t="n">
        <v>11</v>
      </c>
      <c r="D1412" s="3" t="n">
        <v>46</v>
      </c>
      <c r="E1412" s="3" t="inlineStr">
        <is>
          <t>S26-46</t>
        </is>
      </c>
    </row>
    <row r="1413">
      <c r="A1413" s="2" t="n">
        <v>46338</v>
      </c>
      <c r="B1413" s="3" t="n">
        <v>2026</v>
      </c>
      <c r="C1413" s="3" t="n">
        <v>11</v>
      </c>
      <c r="D1413" s="3" t="n">
        <v>46</v>
      </c>
      <c r="E1413" s="3" t="inlineStr">
        <is>
          <t>S26-46</t>
        </is>
      </c>
    </row>
    <row r="1414">
      <c r="A1414" s="2" t="n">
        <v>46339</v>
      </c>
      <c r="B1414" s="3" t="n">
        <v>2026</v>
      </c>
      <c r="C1414" s="3" t="n">
        <v>11</v>
      </c>
      <c r="D1414" s="3" t="n">
        <v>46</v>
      </c>
      <c r="E1414" s="3" t="inlineStr">
        <is>
          <t>S26-46</t>
        </is>
      </c>
    </row>
    <row r="1415">
      <c r="A1415" s="2" t="n">
        <v>46340</v>
      </c>
      <c r="B1415" s="3" t="n">
        <v>2026</v>
      </c>
      <c r="C1415" s="3" t="n">
        <v>11</v>
      </c>
      <c r="D1415" s="3" t="n">
        <v>46</v>
      </c>
      <c r="E1415" s="3" t="inlineStr">
        <is>
          <t>S26-46</t>
        </is>
      </c>
    </row>
    <row r="1416">
      <c r="A1416" s="2" t="n">
        <v>46341</v>
      </c>
      <c r="B1416" s="3" t="n">
        <v>2026</v>
      </c>
      <c r="C1416" s="3" t="n">
        <v>11</v>
      </c>
      <c r="D1416" s="3" t="n">
        <v>46</v>
      </c>
      <c r="E1416" s="3" t="inlineStr">
        <is>
          <t>S26-46</t>
        </is>
      </c>
    </row>
    <row r="1417">
      <c r="A1417" s="2" t="n">
        <v>46342</v>
      </c>
      <c r="B1417" s="3" t="n">
        <v>2026</v>
      </c>
      <c r="C1417" s="3" t="n">
        <v>11</v>
      </c>
      <c r="D1417" s="3" t="n">
        <v>47</v>
      </c>
      <c r="E1417" s="3" t="inlineStr">
        <is>
          <t>S26-47</t>
        </is>
      </c>
    </row>
    <row r="1418">
      <c r="A1418" s="2" t="n">
        <v>46343</v>
      </c>
      <c r="B1418" s="3" t="n">
        <v>2026</v>
      </c>
      <c r="C1418" s="3" t="n">
        <v>11</v>
      </c>
      <c r="D1418" s="3" t="n">
        <v>47</v>
      </c>
      <c r="E1418" s="3" t="inlineStr">
        <is>
          <t>S26-47</t>
        </is>
      </c>
    </row>
    <row r="1419">
      <c r="A1419" s="2" t="n">
        <v>46344</v>
      </c>
      <c r="B1419" s="3" t="n">
        <v>2026</v>
      </c>
      <c r="C1419" s="3" t="n">
        <v>11</v>
      </c>
      <c r="D1419" s="3" t="n">
        <v>47</v>
      </c>
      <c r="E1419" s="3" t="inlineStr">
        <is>
          <t>S26-47</t>
        </is>
      </c>
    </row>
    <row r="1420">
      <c r="A1420" s="2" t="n">
        <v>46345</v>
      </c>
      <c r="B1420" s="3" t="n">
        <v>2026</v>
      </c>
      <c r="C1420" s="3" t="n">
        <v>11</v>
      </c>
      <c r="D1420" s="3" t="n">
        <v>47</v>
      </c>
      <c r="E1420" s="3" t="inlineStr">
        <is>
          <t>S26-47</t>
        </is>
      </c>
    </row>
    <row r="1421">
      <c r="A1421" s="2" t="n">
        <v>46346</v>
      </c>
      <c r="B1421" s="3" t="n">
        <v>2026</v>
      </c>
      <c r="C1421" s="3" t="n">
        <v>11</v>
      </c>
      <c r="D1421" s="3" t="n">
        <v>47</v>
      </c>
      <c r="E1421" s="3" t="inlineStr">
        <is>
          <t>S26-47</t>
        </is>
      </c>
    </row>
    <row r="1422">
      <c r="A1422" s="2" t="n">
        <v>46347</v>
      </c>
      <c r="B1422" s="3" t="n">
        <v>2026</v>
      </c>
      <c r="C1422" s="3" t="n">
        <v>11</v>
      </c>
      <c r="D1422" s="3" t="n">
        <v>47</v>
      </c>
      <c r="E1422" s="3" t="inlineStr">
        <is>
          <t>S26-47</t>
        </is>
      </c>
    </row>
    <row r="1423">
      <c r="A1423" s="2" t="n">
        <v>46348</v>
      </c>
      <c r="B1423" s="3" t="n">
        <v>2026</v>
      </c>
      <c r="C1423" s="3" t="n">
        <v>11</v>
      </c>
      <c r="D1423" s="3" t="n">
        <v>47</v>
      </c>
      <c r="E1423" s="3" t="inlineStr">
        <is>
          <t>S26-47</t>
        </is>
      </c>
    </row>
    <row r="1424">
      <c r="A1424" s="2" t="n">
        <v>46349</v>
      </c>
      <c r="B1424" s="3" t="n">
        <v>2026</v>
      </c>
      <c r="C1424" s="3" t="n">
        <v>11</v>
      </c>
      <c r="D1424" s="3" t="n">
        <v>48</v>
      </c>
      <c r="E1424" s="3" t="inlineStr">
        <is>
          <t>S26-48</t>
        </is>
      </c>
    </row>
    <row r="1425">
      <c r="A1425" s="2" t="n">
        <v>46350</v>
      </c>
      <c r="B1425" s="3" t="n">
        <v>2026</v>
      </c>
      <c r="C1425" s="3" t="n">
        <v>11</v>
      </c>
      <c r="D1425" s="3" t="n">
        <v>48</v>
      </c>
      <c r="E1425" s="3" t="inlineStr">
        <is>
          <t>S26-48</t>
        </is>
      </c>
    </row>
    <row r="1426">
      <c r="A1426" s="2" t="n">
        <v>46351</v>
      </c>
      <c r="B1426" s="3" t="n">
        <v>2026</v>
      </c>
      <c r="C1426" s="3" t="n">
        <v>11</v>
      </c>
      <c r="D1426" s="3" t="n">
        <v>48</v>
      </c>
      <c r="E1426" s="3" t="inlineStr">
        <is>
          <t>S26-48</t>
        </is>
      </c>
    </row>
    <row r="1427">
      <c r="A1427" s="2" t="n">
        <v>46352</v>
      </c>
      <c r="B1427" s="3" t="n">
        <v>2026</v>
      </c>
      <c r="C1427" s="3" t="n">
        <v>11</v>
      </c>
      <c r="D1427" s="3" t="n">
        <v>48</v>
      </c>
      <c r="E1427" s="3" t="inlineStr">
        <is>
          <t>S26-48</t>
        </is>
      </c>
    </row>
    <row r="1428">
      <c r="A1428" s="2" t="n">
        <v>46353</v>
      </c>
      <c r="B1428" s="3" t="n">
        <v>2026</v>
      </c>
      <c r="C1428" s="3" t="n">
        <v>11</v>
      </c>
      <c r="D1428" s="3" t="n">
        <v>48</v>
      </c>
      <c r="E1428" s="3" t="inlineStr">
        <is>
          <t>S26-48</t>
        </is>
      </c>
    </row>
    <row r="1429">
      <c r="A1429" s="2" t="n">
        <v>46354</v>
      </c>
      <c r="B1429" s="3" t="n">
        <v>2026</v>
      </c>
      <c r="C1429" s="3" t="n">
        <v>11</v>
      </c>
      <c r="D1429" s="3" t="n">
        <v>48</v>
      </c>
      <c r="E1429" s="3" t="inlineStr">
        <is>
          <t>S26-48</t>
        </is>
      </c>
    </row>
    <row r="1430">
      <c r="A1430" s="2" t="n">
        <v>46355</v>
      </c>
      <c r="B1430" s="3" t="n">
        <v>2026</v>
      </c>
      <c r="C1430" s="3" t="n">
        <v>11</v>
      </c>
      <c r="D1430" s="3" t="n">
        <v>48</v>
      </c>
      <c r="E1430" s="3" t="inlineStr">
        <is>
          <t>S26-48</t>
        </is>
      </c>
    </row>
    <row r="1431">
      <c r="A1431" s="2" t="n">
        <v>46356</v>
      </c>
      <c r="B1431" s="3" t="n">
        <v>2026</v>
      </c>
      <c r="C1431" s="3" t="n">
        <v>11</v>
      </c>
      <c r="D1431" s="3" t="n">
        <v>49</v>
      </c>
      <c r="E1431" s="3" t="inlineStr">
        <is>
          <t>S26-49</t>
        </is>
      </c>
    </row>
    <row r="1432">
      <c r="A1432" s="2" t="n">
        <v>46357</v>
      </c>
      <c r="B1432" s="3" t="n">
        <v>2026</v>
      </c>
      <c r="C1432" s="3" t="n">
        <v>12</v>
      </c>
      <c r="D1432" s="3" t="n">
        <v>49</v>
      </c>
      <c r="E1432" s="3" t="inlineStr">
        <is>
          <t>S26-49</t>
        </is>
      </c>
    </row>
    <row r="1433">
      <c r="A1433" s="2" t="n">
        <v>46358</v>
      </c>
      <c r="B1433" s="3" t="n">
        <v>2026</v>
      </c>
      <c r="C1433" s="3" t="n">
        <v>12</v>
      </c>
      <c r="D1433" s="3" t="n">
        <v>49</v>
      </c>
      <c r="E1433" s="3" t="inlineStr">
        <is>
          <t>S26-49</t>
        </is>
      </c>
    </row>
    <row r="1434">
      <c r="A1434" s="2" t="n">
        <v>46359</v>
      </c>
      <c r="B1434" s="3" t="n">
        <v>2026</v>
      </c>
      <c r="C1434" s="3" t="n">
        <v>12</v>
      </c>
      <c r="D1434" s="3" t="n">
        <v>49</v>
      </c>
      <c r="E1434" s="3" t="inlineStr">
        <is>
          <t>S26-49</t>
        </is>
      </c>
    </row>
    <row r="1435">
      <c r="A1435" s="2" t="n">
        <v>46360</v>
      </c>
      <c r="B1435" s="3" t="n">
        <v>2026</v>
      </c>
      <c r="C1435" s="3" t="n">
        <v>12</v>
      </c>
      <c r="D1435" s="3" t="n">
        <v>49</v>
      </c>
      <c r="E1435" s="3" t="inlineStr">
        <is>
          <t>S26-49</t>
        </is>
      </c>
    </row>
    <row r="1436">
      <c r="A1436" s="2" t="n">
        <v>46361</v>
      </c>
      <c r="B1436" s="3" t="n">
        <v>2026</v>
      </c>
      <c r="C1436" s="3" t="n">
        <v>12</v>
      </c>
      <c r="D1436" s="3" t="n">
        <v>49</v>
      </c>
      <c r="E1436" s="3" t="inlineStr">
        <is>
          <t>S26-49</t>
        </is>
      </c>
    </row>
    <row r="1437">
      <c r="A1437" s="2" t="n">
        <v>46362</v>
      </c>
      <c r="B1437" s="3" t="n">
        <v>2026</v>
      </c>
      <c r="C1437" s="3" t="n">
        <v>12</v>
      </c>
      <c r="D1437" s="3" t="n">
        <v>49</v>
      </c>
      <c r="E1437" s="3" t="inlineStr">
        <is>
          <t>S26-49</t>
        </is>
      </c>
    </row>
    <row r="1438">
      <c r="A1438" s="2" t="n">
        <v>46363</v>
      </c>
      <c r="B1438" s="3" t="n">
        <v>2026</v>
      </c>
      <c r="C1438" s="3" t="n">
        <v>12</v>
      </c>
      <c r="D1438" s="3" t="n">
        <v>50</v>
      </c>
      <c r="E1438" s="3" t="inlineStr">
        <is>
          <t>S26-50</t>
        </is>
      </c>
    </row>
    <row r="1439">
      <c r="A1439" s="2" t="n">
        <v>46364</v>
      </c>
      <c r="B1439" s="3" t="n">
        <v>2026</v>
      </c>
      <c r="C1439" s="3" t="n">
        <v>12</v>
      </c>
      <c r="D1439" s="3" t="n">
        <v>50</v>
      </c>
      <c r="E1439" s="3" t="inlineStr">
        <is>
          <t>S26-50</t>
        </is>
      </c>
    </row>
    <row r="1440">
      <c r="A1440" s="2" t="n">
        <v>46365</v>
      </c>
      <c r="B1440" s="3" t="n">
        <v>2026</v>
      </c>
      <c r="C1440" s="3" t="n">
        <v>12</v>
      </c>
      <c r="D1440" s="3" t="n">
        <v>50</v>
      </c>
      <c r="E1440" s="3" t="inlineStr">
        <is>
          <t>S26-50</t>
        </is>
      </c>
    </row>
    <row r="1441">
      <c r="A1441" s="2" t="n">
        <v>46366</v>
      </c>
      <c r="B1441" s="3" t="n">
        <v>2026</v>
      </c>
      <c r="C1441" s="3" t="n">
        <v>12</v>
      </c>
      <c r="D1441" s="3" t="n">
        <v>50</v>
      </c>
      <c r="E1441" s="3" t="inlineStr">
        <is>
          <t>S26-50</t>
        </is>
      </c>
    </row>
    <row r="1442">
      <c r="A1442" s="2" t="n">
        <v>46367</v>
      </c>
      <c r="B1442" s="3" t="n">
        <v>2026</v>
      </c>
      <c r="C1442" s="3" t="n">
        <v>12</v>
      </c>
      <c r="D1442" s="3" t="n">
        <v>50</v>
      </c>
      <c r="E1442" s="3" t="inlineStr">
        <is>
          <t>S26-50</t>
        </is>
      </c>
    </row>
    <row r="1443">
      <c r="A1443" s="2" t="n">
        <v>46368</v>
      </c>
      <c r="B1443" s="3" t="n">
        <v>2026</v>
      </c>
      <c r="C1443" s="3" t="n">
        <v>12</v>
      </c>
      <c r="D1443" s="3" t="n">
        <v>50</v>
      </c>
      <c r="E1443" s="3" t="inlineStr">
        <is>
          <t>S26-50</t>
        </is>
      </c>
    </row>
    <row r="1444">
      <c r="A1444" s="2" t="n">
        <v>46369</v>
      </c>
      <c r="B1444" s="3" t="n">
        <v>2026</v>
      </c>
      <c r="C1444" s="3" t="n">
        <v>12</v>
      </c>
      <c r="D1444" s="3" t="n">
        <v>50</v>
      </c>
      <c r="E1444" s="3" t="inlineStr">
        <is>
          <t>S26-50</t>
        </is>
      </c>
    </row>
    <row r="1445">
      <c r="A1445" s="2" t="n">
        <v>46370</v>
      </c>
      <c r="B1445" s="3" t="n">
        <v>2026</v>
      </c>
      <c r="C1445" s="3" t="n">
        <v>12</v>
      </c>
      <c r="D1445" s="3" t="n">
        <v>51</v>
      </c>
      <c r="E1445" s="3" t="inlineStr">
        <is>
          <t>S26-51</t>
        </is>
      </c>
    </row>
    <row r="1446">
      <c r="A1446" s="2" t="n">
        <v>46371</v>
      </c>
      <c r="B1446" s="3" t="n">
        <v>2026</v>
      </c>
      <c r="C1446" s="3" t="n">
        <v>12</v>
      </c>
      <c r="D1446" s="3" t="n">
        <v>51</v>
      </c>
      <c r="E1446" s="3" t="inlineStr">
        <is>
          <t>S26-51</t>
        </is>
      </c>
    </row>
    <row r="1447">
      <c r="A1447" s="2" t="n">
        <v>46372</v>
      </c>
      <c r="B1447" s="3" t="n">
        <v>2026</v>
      </c>
      <c r="C1447" s="3" t="n">
        <v>12</v>
      </c>
      <c r="D1447" s="3" t="n">
        <v>51</v>
      </c>
      <c r="E1447" s="3" t="inlineStr">
        <is>
          <t>S26-51</t>
        </is>
      </c>
    </row>
    <row r="1448">
      <c r="A1448" s="2" t="n">
        <v>46373</v>
      </c>
      <c r="B1448" s="3" t="n">
        <v>2026</v>
      </c>
      <c r="C1448" s="3" t="n">
        <v>12</v>
      </c>
      <c r="D1448" s="3" t="n">
        <v>51</v>
      </c>
      <c r="E1448" s="3" t="inlineStr">
        <is>
          <t>S26-51</t>
        </is>
      </c>
    </row>
    <row r="1449">
      <c r="A1449" s="2" t="n">
        <v>46374</v>
      </c>
      <c r="B1449" s="3" t="n">
        <v>2026</v>
      </c>
      <c r="C1449" s="3" t="n">
        <v>12</v>
      </c>
      <c r="D1449" s="3" t="n">
        <v>51</v>
      </c>
      <c r="E1449" s="3" t="inlineStr">
        <is>
          <t>S26-51</t>
        </is>
      </c>
    </row>
    <row r="1450">
      <c r="A1450" s="2" t="n">
        <v>46375</v>
      </c>
      <c r="B1450" s="3" t="n">
        <v>2026</v>
      </c>
      <c r="C1450" s="3" t="n">
        <v>12</v>
      </c>
      <c r="D1450" s="3" t="n">
        <v>51</v>
      </c>
      <c r="E1450" s="3" t="inlineStr">
        <is>
          <t>S26-51</t>
        </is>
      </c>
    </row>
    <row r="1451">
      <c r="A1451" s="2" t="n">
        <v>46376</v>
      </c>
      <c r="B1451" s="3" t="n">
        <v>2026</v>
      </c>
      <c r="C1451" s="3" t="n">
        <v>12</v>
      </c>
      <c r="D1451" s="3" t="n">
        <v>51</v>
      </c>
      <c r="E1451" s="3" t="inlineStr">
        <is>
          <t>S26-51</t>
        </is>
      </c>
    </row>
    <row r="1452">
      <c r="A1452" s="2" t="n">
        <v>46377</v>
      </c>
      <c r="B1452" s="3" t="n">
        <v>2026</v>
      </c>
      <c r="C1452" s="3" t="n">
        <v>12</v>
      </c>
      <c r="D1452" s="3" t="n">
        <v>52</v>
      </c>
      <c r="E1452" s="3" t="inlineStr">
        <is>
          <t>S26-52</t>
        </is>
      </c>
    </row>
    <row r="1453">
      <c r="A1453" s="2" t="n">
        <v>46378</v>
      </c>
      <c r="B1453" s="3" t="n">
        <v>2026</v>
      </c>
      <c r="C1453" s="3" t="n">
        <v>12</v>
      </c>
      <c r="D1453" s="3" t="n">
        <v>52</v>
      </c>
      <c r="E1453" s="3" t="inlineStr">
        <is>
          <t>S26-52</t>
        </is>
      </c>
    </row>
    <row r="1454">
      <c r="A1454" s="2" t="n">
        <v>46379</v>
      </c>
      <c r="B1454" s="3" t="n">
        <v>2026</v>
      </c>
      <c r="C1454" s="3" t="n">
        <v>12</v>
      </c>
      <c r="D1454" s="3" t="n">
        <v>52</v>
      </c>
      <c r="E1454" s="3" t="inlineStr">
        <is>
          <t>S26-52</t>
        </is>
      </c>
    </row>
    <row r="1455">
      <c r="A1455" s="2" t="n">
        <v>46380</v>
      </c>
      <c r="B1455" s="3" t="n">
        <v>2026</v>
      </c>
      <c r="C1455" s="3" t="n">
        <v>12</v>
      </c>
      <c r="D1455" s="3" t="n">
        <v>52</v>
      </c>
      <c r="E1455" s="3" t="inlineStr">
        <is>
          <t>S26-52</t>
        </is>
      </c>
    </row>
    <row r="1456">
      <c r="A1456" s="2" t="n">
        <v>46381</v>
      </c>
      <c r="B1456" s="3" t="n">
        <v>2026</v>
      </c>
      <c r="C1456" s="3" t="n">
        <v>12</v>
      </c>
      <c r="D1456" s="3" t="n">
        <v>52</v>
      </c>
      <c r="E1456" s="3" t="inlineStr">
        <is>
          <t>S26-52</t>
        </is>
      </c>
    </row>
    <row r="1457">
      <c r="A1457" s="2" t="n">
        <v>46382</v>
      </c>
      <c r="B1457" s="3" t="n">
        <v>2026</v>
      </c>
      <c r="C1457" s="3" t="n">
        <v>12</v>
      </c>
      <c r="D1457" s="3" t="n">
        <v>52</v>
      </c>
      <c r="E1457" s="3" t="inlineStr">
        <is>
          <t>S26-52</t>
        </is>
      </c>
    </row>
    <row r="1458">
      <c r="A1458" s="2" t="n">
        <v>46383</v>
      </c>
      <c r="B1458" s="3" t="n">
        <v>2026</v>
      </c>
      <c r="C1458" s="3" t="n">
        <v>12</v>
      </c>
      <c r="D1458" s="3" t="n">
        <v>52</v>
      </c>
      <c r="E1458" s="3" t="inlineStr">
        <is>
          <t>S26-52</t>
        </is>
      </c>
    </row>
    <row r="1459">
      <c r="A1459" s="2" t="n">
        <v>46384</v>
      </c>
      <c r="B1459" s="3" t="n">
        <v>2026</v>
      </c>
      <c r="C1459" s="3" t="n">
        <v>12</v>
      </c>
      <c r="D1459" s="3" t="n">
        <v>53</v>
      </c>
      <c r="E1459" s="3" t="inlineStr">
        <is>
          <t>S26-53</t>
        </is>
      </c>
    </row>
    <row r="1460">
      <c r="A1460" s="2" t="n">
        <v>46385</v>
      </c>
      <c r="B1460" s="3" t="n">
        <v>2026</v>
      </c>
      <c r="C1460" s="3" t="n">
        <v>12</v>
      </c>
      <c r="D1460" s="3" t="n">
        <v>53</v>
      </c>
      <c r="E1460" s="3" t="inlineStr">
        <is>
          <t>S26-53</t>
        </is>
      </c>
    </row>
    <row r="1461">
      <c r="A1461" s="2" t="n">
        <v>46386</v>
      </c>
      <c r="B1461" s="3" t="n">
        <v>2026</v>
      </c>
      <c r="C1461" s="3" t="n">
        <v>12</v>
      </c>
      <c r="D1461" s="3" t="n">
        <v>53</v>
      </c>
      <c r="E1461" s="3" t="inlineStr">
        <is>
          <t>S26-53</t>
        </is>
      </c>
    </row>
    <row r="1462">
      <c r="A1462" s="2" t="n">
        <v>46387</v>
      </c>
      <c r="B1462" s="3" t="n">
        <v>2026</v>
      </c>
      <c r="C1462" s="3" t="n">
        <v>12</v>
      </c>
      <c r="D1462" s="3" t="n">
        <v>53</v>
      </c>
      <c r="E1462" s="3" t="inlineStr">
        <is>
          <t>S26-53</t>
        </is>
      </c>
    </row>
    <row r="1463">
      <c r="A1463" s="2" t="n">
        <v>46388</v>
      </c>
      <c r="B1463" s="3" t="n">
        <v>2027</v>
      </c>
      <c r="C1463" s="3" t="n">
        <v>1</v>
      </c>
      <c r="D1463" s="3" t="n">
        <v>53</v>
      </c>
      <c r="E1463" s="3" t="inlineStr">
        <is>
          <t>S27-53</t>
        </is>
      </c>
    </row>
    <row r="1464">
      <c r="A1464" s="2" t="n">
        <v>46389</v>
      </c>
      <c r="B1464" s="3" t="n">
        <v>2027</v>
      </c>
      <c r="C1464" s="3" t="n">
        <v>1</v>
      </c>
      <c r="D1464" s="3" t="n">
        <v>53</v>
      </c>
      <c r="E1464" s="3" t="inlineStr">
        <is>
          <t>S27-53</t>
        </is>
      </c>
    </row>
    <row r="1465">
      <c r="A1465" s="2" t="n">
        <v>46390</v>
      </c>
      <c r="B1465" s="3" t="n">
        <v>2027</v>
      </c>
      <c r="C1465" s="3" t="n">
        <v>1</v>
      </c>
      <c r="D1465" s="3" t="n">
        <v>53</v>
      </c>
      <c r="E1465" s="3" t="inlineStr">
        <is>
          <t>S27-53</t>
        </is>
      </c>
    </row>
    <row r="1466">
      <c r="A1466" s="2" t="n">
        <v>46391</v>
      </c>
      <c r="B1466" s="3" t="n">
        <v>2027</v>
      </c>
      <c r="C1466" s="3" t="n">
        <v>1</v>
      </c>
      <c r="D1466" s="3" t="n">
        <v>1</v>
      </c>
      <c r="E1466" s="3" t="inlineStr">
        <is>
          <t>S27-01</t>
        </is>
      </c>
    </row>
    <row r="1467">
      <c r="A1467" s="2" t="n">
        <v>46392</v>
      </c>
      <c r="B1467" s="3" t="n">
        <v>2027</v>
      </c>
      <c r="C1467" s="3" t="n">
        <v>1</v>
      </c>
      <c r="D1467" s="3" t="n">
        <v>1</v>
      </c>
      <c r="E1467" s="3" t="inlineStr">
        <is>
          <t>S27-01</t>
        </is>
      </c>
    </row>
    <row r="1468">
      <c r="A1468" s="2" t="n">
        <v>46393</v>
      </c>
      <c r="B1468" s="3" t="n">
        <v>2027</v>
      </c>
      <c r="C1468" s="3" t="n">
        <v>1</v>
      </c>
      <c r="D1468" s="3" t="n">
        <v>1</v>
      </c>
      <c r="E1468" s="3" t="inlineStr">
        <is>
          <t>S27-01</t>
        </is>
      </c>
    </row>
    <row r="1469">
      <c r="A1469" s="2" t="n">
        <v>46394</v>
      </c>
      <c r="B1469" s="3" t="n">
        <v>2027</v>
      </c>
      <c r="C1469" s="3" t="n">
        <v>1</v>
      </c>
      <c r="D1469" s="3" t="n">
        <v>1</v>
      </c>
      <c r="E1469" s="3" t="inlineStr">
        <is>
          <t>S27-01</t>
        </is>
      </c>
    </row>
    <row r="1470">
      <c r="A1470" s="2" t="n">
        <v>46395</v>
      </c>
      <c r="B1470" s="3" t="n">
        <v>2027</v>
      </c>
      <c r="C1470" s="3" t="n">
        <v>1</v>
      </c>
      <c r="D1470" s="3" t="n">
        <v>1</v>
      </c>
      <c r="E1470" s="3" t="inlineStr">
        <is>
          <t>S27-01</t>
        </is>
      </c>
    </row>
    <row r="1471">
      <c r="A1471" s="2" t="n">
        <v>46396</v>
      </c>
      <c r="B1471" s="3" t="n">
        <v>2027</v>
      </c>
      <c r="C1471" s="3" t="n">
        <v>1</v>
      </c>
      <c r="D1471" s="3" t="n">
        <v>1</v>
      </c>
      <c r="E1471" s="3" t="inlineStr">
        <is>
          <t>S27-01</t>
        </is>
      </c>
    </row>
    <row r="1472">
      <c r="A1472" s="2" t="n">
        <v>46397</v>
      </c>
      <c r="B1472" s="3" t="n">
        <v>2027</v>
      </c>
      <c r="C1472" s="3" t="n">
        <v>1</v>
      </c>
      <c r="D1472" s="3" t="n">
        <v>1</v>
      </c>
      <c r="E1472" s="3" t="inlineStr">
        <is>
          <t>S27-01</t>
        </is>
      </c>
    </row>
    <row r="1473">
      <c r="A1473" s="2" t="n">
        <v>46398</v>
      </c>
      <c r="B1473" s="3" t="n">
        <v>2027</v>
      </c>
      <c r="C1473" s="3" t="n">
        <v>1</v>
      </c>
      <c r="D1473" s="3" t="n">
        <v>2</v>
      </c>
      <c r="E1473" s="3" t="inlineStr">
        <is>
          <t>S27-02</t>
        </is>
      </c>
    </row>
    <row r="1474">
      <c r="A1474" s="2" t="n">
        <v>46399</v>
      </c>
      <c r="B1474" s="3" t="n">
        <v>2027</v>
      </c>
      <c r="C1474" s="3" t="n">
        <v>1</v>
      </c>
      <c r="D1474" s="3" t="n">
        <v>2</v>
      </c>
      <c r="E1474" s="3" t="inlineStr">
        <is>
          <t>S27-02</t>
        </is>
      </c>
    </row>
    <row r="1475">
      <c r="A1475" s="2" t="n">
        <v>46400</v>
      </c>
      <c r="B1475" s="3" t="n">
        <v>2027</v>
      </c>
      <c r="C1475" s="3" t="n">
        <v>1</v>
      </c>
      <c r="D1475" s="3" t="n">
        <v>2</v>
      </c>
      <c r="E1475" s="3" t="inlineStr">
        <is>
          <t>S27-02</t>
        </is>
      </c>
    </row>
    <row r="1476">
      <c r="A1476" s="2" t="n">
        <v>46401</v>
      </c>
      <c r="B1476" s="3" t="n">
        <v>2027</v>
      </c>
      <c r="C1476" s="3" t="n">
        <v>1</v>
      </c>
      <c r="D1476" s="3" t="n">
        <v>2</v>
      </c>
      <c r="E1476" s="3" t="inlineStr">
        <is>
          <t>S27-02</t>
        </is>
      </c>
    </row>
    <row r="1477">
      <c r="A1477" s="2" t="n">
        <v>46402</v>
      </c>
      <c r="B1477" s="3" t="n">
        <v>2027</v>
      </c>
      <c r="C1477" s="3" t="n">
        <v>1</v>
      </c>
      <c r="D1477" s="3" t="n">
        <v>2</v>
      </c>
      <c r="E1477" s="3" t="inlineStr">
        <is>
          <t>S27-02</t>
        </is>
      </c>
    </row>
    <row r="1478">
      <c r="A1478" s="2" t="n">
        <v>46403</v>
      </c>
      <c r="B1478" s="3" t="n">
        <v>2027</v>
      </c>
      <c r="C1478" s="3" t="n">
        <v>1</v>
      </c>
      <c r="D1478" s="3" t="n">
        <v>2</v>
      </c>
      <c r="E1478" s="3" t="inlineStr">
        <is>
          <t>S27-02</t>
        </is>
      </c>
    </row>
    <row r="1479">
      <c r="A1479" s="2" t="n">
        <v>46404</v>
      </c>
      <c r="B1479" s="3" t="n">
        <v>2027</v>
      </c>
      <c r="C1479" s="3" t="n">
        <v>1</v>
      </c>
      <c r="D1479" s="3" t="n">
        <v>2</v>
      </c>
      <c r="E1479" s="3" t="inlineStr">
        <is>
          <t>S27-02</t>
        </is>
      </c>
    </row>
    <row r="1480">
      <c r="A1480" s="2" t="n">
        <v>46405</v>
      </c>
      <c r="B1480" s="3" t="n">
        <v>2027</v>
      </c>
      <c r="C1480" s="3" t="n">
        <v>1</v>
      </c>
      <c r="D1480" s="3" t="n">
        <v>3</v>
      </c>
      <c r="E1480" s="3" t="inlineStr">
        <is>
          <t>S27-03</t>
        </is>
      </c>
    </row>
    <row r="1481">
      <c r="A1481" s="2" t="n">
        <v>46406</v>
      </c>
      <c r="B1481" s="3" t="n">
        <v>2027</v>
      </c>
      <c r="C1481" s="3" t="n">
        <v>1</v>
      </c>
      <c r="D1481" s="3" t="n">
        <v>3</v>
      </c>
      <c r="E1481" s="3" t="inlineStr">
        <is>
          <t>S27-03</t>
        </is>
      </c>
    </row>
    <row r="1482">
      <c r="A1482" s="2" t="n">
        <v>46407</v>
      </c>
      <c r="B1482" s="3" t="n">
        <v>2027</v>
      </c>
      <c r="C1482" s="3" t="n">
        <v>1</v>
      </c>
      <c r="D1482" s="3" t="n">
        <v>3</v>
      </c>
      <c r="E1482" s="3" t="inlineStr">
        <is>
          <t>S27-03</t>
        </is>
      </c>
    </row>
    <row r="1483">
      <c r="A1483" s="2" t="n">
        <v>46408</v>
      </c>
      <c r="B1483" s="3" t="n">
        <v>2027</v>
      </c>
      <c r="C1483" s="3" t="n">
        <v>1</v>
      </c>
      <c r="D1483" s="3" t="n">
        <v>3</v>
      </c>
      <c r="E1483" s="3" t="inlineStr">
        <is>
          <t>S27-03</t>
        </is>
      </c>
    </row>
    <row r="1484">
      <c r="A1484" s="2" t="n">
        <v>46409</v>
      </c>
      <c r="B1484" s="3" t="n">
        <v>2027</v>
      </c>
      <c r="C1484" s="3" t="n">
        <v>1</v>
      </c>
      <c r="D1484" s="3" t="n">
        <v>3</v>
      </c>
      <c r="E1484" s="3" t="inlineStr">
        <is>
          <t>S27-03</t>
        </is>
      </c>
    </row>
    <row r="1485">
      <c r="A1485" s="2" t="n">
        <v>46410</v>
      </c>
      <c r="B1485" s="3" t="n">
        <v>2027</v>
      </c>
      <c r="C1485" s="3" t="n">
        <v>1</v>
      </c>
      <c r="D1485" s="3" t="n">
        <v>3</v>
      </c>
      <c r="E1485" s="3" t="inlineStr">
        <is>
          <t>S27-03</t>
        </is>
      </c>
    </row>
    <row r="1486">
      <c r="A1486" s="2" t="n">
        <v>46411</v>
      </c>
      <c r="B1486" s="3" t="n">
        <v>2027</v>
      </c>
      <c r="C1486" s="3" t="n">
        <v>1</v>
      </c>
      <c r="D1486" s="3" t="n">
        <v>3</v>
      </c>
      <c r="E1486" s="3" t="inlineStr">
        <is>
          <t>S27-03</t>
        </is>
      </c>
    </row>
    <row r="1487">
      <c r="A1487" s="2" t="n">
        <v>46412</v>
      </c>
      <c r="B1487" s="3" t="n">
        <v>2027</v>
      </c>
      <c r="C1487" s="3" t="n">
        <v>1</v>
      </c>
      <c r="D1487" s="3" t="n">
        <v>4</v>
      </c>
      <c r="E1487" s="3" t="inlineStr">
        <is>
          <t>S27-04</t>
        </is>
      </c>
    </row>
    <row r="1488">
      <c r="A1488" s="2" t="n">
        <v>46413</v>
      </c>
      <c r="B1488" s="3" t="n">
        <v>2027</v>
      </c>
      <c r="C1488" s="3" t="n">
        <v>1</v>
      </c>
      <c r="D1488" s="3" t="n">
        <v>4</v>
      </c>
      <c r="E1488" s="3" t="inlineStr">
        <is>
          <t>S27-04</t>
        </is>
      </c>
    </row>
    <row r="1489">
      <c r="A1489" s="2" t="n">
        <v>46414</v>
      </c>
      <c r="B1489" s="3" t="n">
        <v>2027</v>
      </c>
      <c r="C1489" s="3" t="n">
        <v>1</v>
      </c>
      <c r="D1489" s="3" t="n">
        <v>4</v>
      </c>
      <c r="E1489" s="3" t="inlineStr">
        <is>
          <t>S27-04</t>
        </is>
      </c>
    </row>
    <row r="1490">
      <c r="A1490" s="2" t="n">
        <v>46415</v>
      </c>
      <c r="B1490" s="3" t="n">
        <v>2027</v>
      </c>
      <c r="C1490" s="3" t="n">
        <v>1</v>
      </c>
      <c r="D1490" s="3" t="n">
        <v>4</v>
      </c>
      <c r="E1490" s="3" t="inlineStr">
        <is>
          <t>S27-04</t>
        </is>
      </c>
    </row>
    <row r="1491">
      <c r="A1491" s="2" t="n">
        <v>46416</v>
      </c>
      <c r="B1491" s="3" t="n">
        <v>2027</v>
      </c>
      <c r="C1491" s="3" t="n">
        <v>1</v>
      </c>
      <c r="D1491" s="3" t="n">
        <v>4</v>
      </c>
      <c r="E1491" s="3" t="inlineStr">
        <is>
          <t>S27-04</t>
        </is>
      </c>
    </row>
    <row r="1492">
      <c r="A1492" s="2" t="n">
        <v>46417</v>
      </c>
      <c r="B1492" s="3" t="n">
        <v>2027</v>
      </c>
      <c r="C1492" s="3" t="n">
        <v>1</v>
      </c>
      <c r="D1492" s="3" t="n">
        <v>4</v>
      </c>
      <c r="E1492" s="3" t="inlineStr">
        <is>
          <t>S27-04</t>
        </is>
      </c>
    </row>
    <row r="1493">
      <c r="A1493" s="2" t="n">
        <v>46418</v>
      </c>
      <c r="B1493" s="3" t="n">
        <v>2027</v>
      </c>
      <c r="C1493" s="3" t="n">
        <v>1</v>
      </c>
      <c r="D1493" s="3" t="n">
        <v>4</v>
      </c>
      <c r="E1493" s="3" t="inlineStr">
        <is>
          <t>S27-04</t>
        </is>
      </c>
    </row>
    <row r="1494">
      <c r="A1494" s="2" t="n">
        <v>46419</v>
      </c>
      <c r="B1494" s="3" t="n">
        <v>2027</v>
      </c>
      <c r="C1494" s="3" t="n">
        <v>2</v>
      </c>
      <c r="D1494" s="3" t="n">
        <v>5</v>
      </c>
      <c r="E1494" s="3" t="inlineStr">
        <is>
          <t>S27-05</t>
        </is>
      </c>
    </row>
    <row r="1495">
      <c r="A1495" s="2" t="n">
        <v>46420</v>
      </c>
      <c r="B1495" s="3" t="n">
        <v>2027</v>
      </c>
      <c r="C1495" s="3" t="n">
        <v>2</v>
      </c>
      <c r="D1495" s="3" t="n">
        <v>5</v>
      </c>
      <c r="E1495" s="3" t="inlineStr">
        <is>
          <t>S27-05</t>
        </is>
      </c>
    </row>
    <row r="1496">
      <c r="A1496" s="2" t="n">
        <v>46421</v>
      </c>
      <c r="B1496" s="3" t="n">
        <v>2027</v>
      </c>
      <c r="C1496" s="3" t="n">
        <v>2</v>
      </c>
      <c r="D1496" s="3" t="n">
        <v>5</v>
      </c>
      <c r="E1496" s="3" t="inlineStr">
        <is>
          <t>S27-05</t>
        </is>
      </c>
    </row>
    <row r="1497">
      <c r="A1497" s="2" t="n">
        <v>46422</v>
      </c>
      <c r="B1497" s="3" t="n">
        <v>2027</v>
      </c>
      <c r="C1497" s="3" t="n">
        <v>2</v>
      </c>
      <c r="D1497" s="3" t="n">
        <v>5</v>
      </c>
      <c r="E1497" s="3" t="inlineStr">
        <is>
          <t>S27-05</t>
        </is>
      </c>
    </row>
    <row r="1498">
      <c r="A1498" s="2" t="n">
        <v>46423</v>
      </c>
      <c r="B1498" s="3" t="n">
        <v>2027</v>
      </c>
      <c r="C1498" s="3" t="n">
        <v>2</v>
      </c>
      <c r="D1498" s="3" t="n">
        <v>5</v>
      </c>
      <c r="E1498" s="3" t="inlineStr">
        <is>
          <t>S27-05</t>
        </is>
      </c>
    </row>
    <row r="1499">
      <c r="A1499" s="2" t="n">
        <v>46424</v>
      </c>
      <c r="B1499" s="3" t="n">
        <v>2027</v>
      </c>
      <c r="C1499" s="3" t="n">
        <v>2</v>
      </c>
      <c r="D1499" s="3" t="n">
        <v>5</v>
      </c>
      <c r="E1499" s="3" t="inlineStr">
        <is>
          <t>S27-05</t>
        </is>
      </c>
    </row>
    <row r="1500">
      <c r="A1500" s="2" t="n">
        <v>46425</v>
      </c>
      <c r="B1500" s="3" t="n">
        <v>2027</v>
      </c>
      <c r="C1500" s="3" t="n">
        <v>2</v>
      </c>
      <c r="D1500" s="3" t="n">
        <v>5</v>
      </c>
      <c r="E1500" s="3" t="inlineStr">
        <is>
          <t>S27-05</t>
        </is>
      </c>
    </row>
    <row r="1501">
      <c r="A1501" s="2" t="n">
        <v>46426</v>
      </c>
      <c r="B1501" s="3" t="n">
        <v>2027</v>
      </c>
      <c r="C1501" s="3" t="n">
        <v>2</v>
      </c>
      <c r="D1501" s="3" t="n">
        <v>6</v>
      </c>
      <c r="E1501" s="3" t="inlineStr">
        <is>
          <t>S27-06</t>
        </is>
      </c>
    </row>
    <row r="1502">
      <c r="A1502" s="2" t="n">
        <v>46427</v>
      </c>
      <c r="B1502" s="3" t="n">
        <v>2027</v>
      </c>
      <c r="C1502" s="3" t="n">
        <v>2</v>
      </c>
      <c r="D1502" s="3" t="n">
        <v>6</v>
      </c>
      <c r="E1502" s="3" t="inlineStr">
        <is>
          <t>S27-06</t>
        </is>
      </c>
    </row>
    <row r="1503">
      <c r="A1503" s="2" t="n">
        <v>46428</v>
      </c>
      <c r="B1503" s="3" t="n">
        <v>2027</v>
      </c>
      <c r="C1503" s="3" t="n">
        <v>2</v>
      </c>
      <c r="D1503" s="3" t="n">
        <v>6</v>
      </c>
      <c r="E1503" s="3" t="inlineStr">
        <is>
          <t>S27-06</t>
        </is>
      </c>
    </row>
    <row r="1504">
      <c r="A1504" s="2" t="n">
        <v>46429</v>
      </c>
      <c r="B1504" s="3" t="n">
        <v>2027</v>
      </c>
      <c r="C1504" s="3" t="n">
        <v>2</v>
      </c>
      <c r="D1504" s="3" t="n">
        <v>6</v>
      </c>
      <c r="E1504" s="3" t="inlineStr">
        <is>
          <t>S27-06</t>
        </is>
      </c>
    </row>
    <row r="1505">
      <c r="A1505" s="2" t="n">
        <v>46430</v>
      </c>
      <c r="B1505" s="3" t="n">
        <v>2027</v>
      </c>
      <c r="C1505" s="3" t="n">
        <v>2</v>
      </c>
      <c r="D1505" s="3" t="n">
        <v>6</v>
      </c>
      <c r="E1505" s="3" t="inlineStr">
        <is>
          <t>S27-06</t>
        </is>
      </c>
    </row>
    <row r="1506">
      <c r="A1506" s="2" t="n">
        <v>46431</v>
      </c>
      <c r="B1506" s="3" t="n">
        <v>2027</v>
      </c>
      <c r="C1506" s="3" t="n">
        <v>2</v>
      </c>
      <c r="D1506" s="3" t="n">
        <v>6</v>
      </c>
      <c r="E1506" s="3" t="inlineStr">
        <is>
          <t>S27-06</t>
        </is>
      </c>
    </row>
    <row r="1507">
      <c r="A1507" s="2" t="n">
        <v>46432</v>
      </c>
      <c r="B1507" s="3" t="n">
        <v>2027</v>
      </c>
      <c r="C1507" s="3" t="n">
        <v>2</v>
      </c>
      <c r="D1507" s="3" t="n">
        <v>6</v>
      </c>
      <c r="E1507" s="3" t="inlineStr">
        <is>
          <t>S27-06</t>
        </is>
      </c>
    </row>
    <row r="1508">
      <c r="A1508" s="2" t="n">
        <v>46433</v>
      </c>
      <c r="B1508" s="3" t="n">
        <v>2027</v>
      </c>
      <c r="C1508" s="3" t="n">
        <v>2</v>
      </c>
      <c r="D1508" s="3" t="n">
        <v>7</v>
      </c>
      <c r="E1508" s="3" t="inlineStr">
        <is>
          <t>S27-07</t>
        </is>
      </c>
    </row>
    <row r="1509">
      <c r="A1509" s="2" t="n">
        <v>46434</v>
      </c>
      <c r="B1509" s="3" t="n">
        <v>2027</v>
      </c>
      <c r="C1509" s="3" t="n">
        <v>2</v>
      </c>
      <c r="D1509" s="3" t="n">
        <v>7</v>
      </c>
      <c r="E1509" s="3" t="inlineStr">
        <is>
          <t>S27-07</t>
        </is>
      </c>
    </row>
    <row r="1510">
      <c r="A1510" s="2" t="n">
        <v>46435</v>
      </c>
      <c r="B1510" s="3" t="n">
        <v>2027</v>
      </c>
      <c r="C1510" s="3" t="n">
        <v>2</v>
      </c>
      <c r="D1510" s="3" t="n">
        <v>7</v>
      </c>
      <c r="E1510" s="3" t="inlineStr">
        <is>
          <t>S27-07</t>
        </is>
      </c>
    </row>
    <row r="1511">
      <c r="A1511" s="2" t="n">
        <v>46436</v>
      </c>
      <c r="B1511" s="3" t="n">
        <v>2027</v>
      </c>
      <c r="C1511" s="3" t="n">
        <v>2</v>
      </c>
      <c r="D1511" s="3" t="n">
        <v>7</v>
      </c>
      <c r="E1511" s="3" t="inlineStr">
        <is>
          <t>S27-07</t>
        </is>
      </c>
    </row>
    <row r="1512">
      <c r="A1512" s="2" t="n">
        <v>46437</v>
      </c>
      <c r="B1512" s="3" t="n">
        <v>2027</v>
      </c>
      <c r="C1512" s="3" t="n">
        <v>2</v>
      </c>
      <c r="D1512" s="3" t="n">
        <v>7</v>
      </c>
      <c r="E1512" s="3" t="inlineStr">
        <is>
          <t>S27-07</t>
        </is>
      </c>
    </row>
    <row r="1513">
      <c r="A1513" s="2" t="n">
        <v>46438</v>
      </c>
      <c r="B1513" s="3" t="n">
        <v>2027</v>
      </c>
      <c r="C1513" s="3" t="n">
        <v>2</v>
      </c>
      <c r="D1513" s="3" t="n">
        <v>7</v>
      </c>
      <c r="E1513" s="3" t="inlineStr">
        <is>
          <t>S27-07</t>
        </is>
      </c>
    </row>
    <row r="1514">
      <c r="A1514" s="2" t="n">
        <v>46439</v>
      </c>
      <c r="B1514" s="3" t="n">
        <v>2027</v>
      </c>
      <c r="C1514" s="3" t="n">
        <v>2</v>
      </c>
      <c r="D1514" s="3" t="n">
        <v>7</v>
      </c>
      <c r="E1514" s="3" t="inlineStr">
        <is>
          <t>S27-07</t>
        </is>
      </c>
    </row>
    <row r="1515">
      <c r="A1515" s="2" t="n">
        <v>46440</v>
      </c>
      <c r="B1515" s="3" t="n">
        <v>2027</v>
      </c>
      <c r="C1515" s="3" t="n">
        <v>2</v>
      </c>
      <c r="D1515" s="3" t="n">
        <v>8</v>
      </c>
      <c r="E1515" s="3" t="inlineStr">
        <is>
          <t>S27-08</t>
        </is>
      </c>
    </row>
    <row r="1516">
      <c r="A1516" s="2" t="n">
        <v>46441</v>
      </c>
      <c r="B1516" s="3" t="n">
        <v>2027</v>
      </c>
      <c r="C1516" s="3" t="n">
        <v>2</v>
      </c>
      <c r="D1516" s="3" t="n">
        <v>8</v>
      </c>
      <c r="E1516" s="3" t="inlineStr">
        <is>
          <t>S27-08</t>
        </is>
      </c>
    </row>
    <row r="1517">
      <c r="A1517" s="2" t="n">
        <v>46442</v>
      </c>
      <c r="B1517" s="3" t="n">
        <v>2027</v>
      </c>
      <c r="C1517" s="3" t="n">
        <v>2</v>
      </c>
      <c r="D1517" s="3" t="n">
        <v>8</v>
      </c>
      <c r="E1517" s="3" t="inlineStr">
        <is>
          <t>S27-08</t>
        </is>
      </c>
    </row>
    <row r="1518">
      <c r="A1518" s="2" t="n">
        <v>46443</v>
      </c>
      <c r="B1518" s="3" t="n">
        <v>2027</v>
      </c>
      <c r="C1518" s="3" t="n">
        <v>2</v>
      </c>
      <c r="D1518" s="3" t="n">
        <v>8</v>
      </c>
      <c r="E1518" s="3" t="inlineStr">
        <is>
          <t>S27-08</t>
        </is>
      </c>
    </row>
    <row r="1519">
      <c r="A1519" s="2" t="n">
        <v>46444</v>
      </c>
      <c r="B1519" s="3" t="n">
        <v>2027</v>
      </c>
      <c r="C1519" s="3" t="n">
        <v>2</v>
      </c>
      <c r="D1519" s="3" t="n">
        <v>8</v>
      </c>
      <c r="E1519" s="3" t="inlineStr">
        <is>
          <t>S27-08</t>
        </is>
      </c>
    </row>
    <row r="1520">
      <c r="A1520" s="2" t="n">
        <v>46445</v>
      </c>
      <c r="B1520" s="3" t="n">
        <v>2027</v>
      </c>
      <c r="C1520" s="3" t="n">
        <v>2</v>
      </c>
      <c r="D1520" s="3" t="n">
        <v>8</v>
      </c>
      <c r="E1520" s="3" t="inlineStr">
        <is>
          <t>S27-08</t>
        </is>
      </c>
    </row>
    <row r="1521">
      <c r="A1521" s="2" t="n">
        <v>46446</v>
      </c>
      <c r="B1521" s="3" t="n">
        <v>2027</v>
      </c>
      <c r="C1521" s="3" t="n">
        <v>2</v>
      </c>
      <c r="D1521" s="3" t="n">
        <v>8</v>
      </c>
      <c r="E1521" s="3" t="inlineStr">
        <is>
          <t>S27-08</t>
        </is>
      </c>
    </row>
    <row r="1522">
      <c r="A1522" s="2" t="n">
        <v>46447</v>
      </c>
      <c r="B1522" s="3" t="n">
        <v>2027</v>
      </c>
      <c r="C1522" s="3" t="n">
        <v>3</v>
      </c>
      <c r="D1522" s="3" t="n">
        <v>9</v>
      </c>
      <c r="E1522" s="3" t="inlineStr">
        <is>
          <t>S27-09</t>
        </is>
      </c>
    </row>
    <row r="1523">
      <c r="A1523" s="2" t="n">
        <v>46448</v>
      </c>
      <c r="B1523" s="3" t="n">
        <v>2027</v>
      </c>
      <c r="C1523" s="3" t="n">
        <v>3</v>
      </c>
      <c r="D1523" s="3" t="n">
        <v>9</v>
      </c>
      <c r="E1523" s="3" t="inlineStr">
        <is>
          <t>S27-09</t>
        </is>
      </c>
    </row>
    <row r="1524">
      <c r="A1524" s="2" t="n">
        <v>46449</v>
      </c>
      <c r="B1524" s="3" t="n">
        <v>2027</v>
      </c>
      <c r="C1524" s="3" t="n">
        <v>3</v>
      </c>
      <c r="D1524" s="3" t="n">
        <v>9</v>
      </c>
      <c r="E1524" s="3" t="inlineStr">
        <is>
          <t>S27-09</t>
        </is>
      </c>
    </row>
    <row r="1525">
      <c r="A1525" s="2" t="n">
        <v>46450</v>
      </c>
      <c r="B1525" s="3" t="n">
        <v>2027</v>
      </c>
      <c r="C1525" s="3" t="n">
        <v>3</v>
      </c>
      <c r="D1525" s="3" t="n">
        <v>9</v>
      </c>
      <c r="E1525" s="3" t="inlineStr">
        <is>
          <t>S27-09</t>
        </is>
      </c>
    </row>
    <row r="1526">
      <c r="A1526" s="2" t="n">
        <v>46451</v>
      </c>
      <c r="B1526" s="3" t="n">
        <v>2027</v>
      </c>
      <c r="C1526" s="3" t="n">
        <v>3</v>
      </c>
      <c r="D1526" s="3" t="n">
        <v>9</v>
      </c>
      <c r="E1526" s="3" t="inlineStr">
        <is>
          <t>S27-09</t>
        </is>
      </c>
    </row>
    <row r="1527">
      <c r="A1527" s="2" t="n">
        <v>46452</v>
      </c>
      <c r="B1527" s="3" t="n">
        <v>2027</v>
      </c>
      <c r="C1527" s="3" t="n">
        <v>3</v>
      </c>
      <c r="D1527" s="3" t="n">
        <v>9</v>
      </c>
      <c r="E1527" s="3" t="inlineStr">
        <is>
          <t>S27-09</t>
        </is>
      </c>
    </row>
    <row r="1528">
      <c r="A1528" s="2" t="n">
        <v>46453</v>
      </c>
      <c r="B1528" s="3" t="n">
        <v>2027</v>
      </c>
      <c r="C1528" s="3" t="n">
        <v>3</v>
      </c>
      <c r="D1528" s="3" t="n">
        <v>9</v>
      </c>
      <c r="E1528" s="3" t="inlineStr">
        <is>
          <t>S27-09</t>
        </is>
      </c>
    </row>
    <row r="1529">
      <c r="A1529" s="2" t="n">
        <v>46454</v>
      </c>
      <c r="B1529" s="3" t="n">
        <v>2027</v>
      </c>
      <c r="C1529" s="3" t="n">
        <v>3</v>
      </c>
      <c r="D1529" s="3" t="n">
        <v>10</v>
      </c>
      <c r="E1529" s="3" t="inlineStr">
        <is>
          <t>S27-10</t>
        </is>
      </c>
    </row>
    <row r="1530">
      <c r="A1530" s="2" t="n">
        <v>46455</v>
      </c>
      <c r="B1530" s="3" t="n">
        <v>2027</v>
      </c>
      <c r="C1530" s="3" t="n">
        <v>3</v>
      </c>
      <c r="D1530" s="3" t="n">
        <v>10</v>
      </c>
      <c r="E1530" s="3" t="inlineStr">
        <is>
          <t>S27-10</t>
        </is>
      </c>
    </row>
    <row r="1531">
      <c r="A1531" s="2" t="n">
        <v>46456</v>
      </c>
      <c r="B1531" s="3" t="n">
        <v>2027</v>
      </c>
      <c r="C1531" s="3" t="n">
        <v>3</v>
      </c>
      <c r="D1531" s="3" t="n">
        <v>10</v>
      </c>
      <c r="E1531" s="3" t="inlineStr">
        <is>
          <t>S27-10</t>
        </is>
      </c>
    </row>
    <row r="1532">
      <c r="A1532" s="2" t="n">
        <v>46457</v>
      </c>
      <c r="B1532" s="3" t="n">
        <v>2027</v>
      </c>
      <c r="C1532" s="3" t="n">
        <v>3</v>
      </c>
      <c r="D1532" s="3" t="n">
        <v>10</v>
      </c>
      <c r="E1532" s="3" t="inlineStr">
        <is>
          <t>S27-10</t>
        </is>
      </c>
    </row>
    <row r="1533">
      <c r="A1533" s="2" t="n">
        <v>46458</v>
      </c>
      <c r="B1533" s="3" t="n">
        <v>2027</v>
      </c>
      <c r="C1533" s="3" t="n">
        <v>3</v>
      </c>
      <c r="D1533" s="3" t="n">
        <v>10</v>
      </c>
      <c r="E1533" s="3" t="inlineStr">
        <is>
          <t>S27-10</t>
        </is>
      </c>
    </row>
    <row r="1534">
      <c r="A1534" s="2" t="n">
        <v>46459</v>
      </c>
      <c r="B1534" s="3" t="n">
        <v>2027</v>
      </c>
      <c r="C1534" s="3" t="n">
        <v>3</v>
      </c>
      <c r="D1534" s="3" t="n">
        <v>10</v>
      </c>
      <c r="E1534" s="3" t="inlineStr">
        <is>
          <t>S27-10</t>
        </is>
      </c>
    </row>
    <row r="1535">
      <c r="A1535" s="2" t="n">
        <v>46460</v>
      </c>
      <c r="B1535" s="3" t="n">
        <v>2027</v>
      </c>
      <c r="C1535" s="3" t="n">
        <v>3</v>
      </c>
      <c r="D1535" s="3" t="n">
        <v>10</v>
      </c>
      <c r="E1535" s="3" t="inlineStr">
        <is>
          <t>S27-10</t>
        </is>
      </c>
    </row>
    <row r="1536">
      <c r="A1536" s="2" t="n">
        <v>46461</v>
      </c>
      <c r="B1536" s="3" t="n">
        <v>2027</v>
      </c>
      <c r="C1536" s="3" t="n">
        <v>3</v>
      </c>
      <c r="D1536" s="3" t="n">
        <v>11</v>
      </c>
      <c r="E1536" s="3" t="inlineStr">
        <is>
          <t>S27-11</t>
        </is>
      </c>
    </row>
    <row r="1537">
      <c r="A1537" s="2" t="n">
        <v>46462</v>
      </c>
      <c r="B1537" s="3" t="n">
        <v>2027</v>
      </c>
      <c r="C1537" s="3" t="n">
        <v>3</v>
      </c>
      <c r="D1537" s="3" t="n">
        <v>11</v>
      </c>
      <c r="E1537" s="3" t="inlineStr">
        <is>
          <t>S27-11</t>
        </is>
      </c>
    </row>
    <row r="1538">
      <c r="A1538" s="2" t="n">
        <v>46463</v>
      </c>
      <c r="B1538" s="3" t="n">
        <v>2027</v>
      </c>
      <c r="C1538" s="3" t="n">
        <v>3</v>
      </c>
      <c r="D1538" s="3" t="n">
        <v>11</v>
      </c>
      <c r="E1538" s="3" t="inlineStr">
        <is>
          <t>S27-11</t>
        </is>
      </c>
    </row>
    <row r="1539">
      <c r="A1539" s="2" t="n">
        <v>46464</v>
      </c>
      <c r="B1539" s="3" t="n">
        <v>2027</v>
      </c>
      <c r="C1539" s="3" t="n">
        <v>3</v>
      </c>
      <c r="D1539" s="3" t="n">
        <v>11</v>
      </c>
      <c r="E1539" s="3" t="inlineStr">
        <is>
          <t>S27-11</t>
        </is>
      </c>
    </row>
    <row r="1540">
      <c r="A1540" s="2" t="n">
        <v>46465</v>
      </c>
      <c r="B1540" s="3" t="n">
        <v>2027</v>
      </c>
      <c r="C1540" s="3" t="n">
        <v>3</v>
      </c>
      <c r="D1540" s="3" t="n">
        <v>11</v>
      </c>
      <c r="E1540" s="3" t="inlineStr">
        <is>
          <t>S27-11</t>
        </is>
      </c>
    </row>
    <row r="1541">
      <c r="A1541" s="2" t="n">
        <v>46466</v>
      </c>
      <c r="B1541" s="3" t="n">
        <v>2027</v>
      </c>
      <c r="C1541" s="3" t="n">
        <v>3</v>
      </c>
      <c r="D1541" s="3" t="n">
        <v>11</v>
      </c>
      <c r="E1541" s="3" t="inlineStr">
        <is>
          <t>S27-11</t>
        </is>
      </c>
    </row>
    <row r="1542">
      <c r="A1542" s="2" t="n">
        <v>46467</v>
      </c>
      <c r="B1542" s="3" t="n">
        <v>2027</v>
      </c>
      <c r="C1542" s="3" t="n">
        <v>3</v>
      </c>
      <c r="D1542" s="3" t="n">
        <v>11</v>
      </c>
      <c r="E1542" s="3" t="inlineStr">
        <is>
          <t>S27-11</t>
        </is>
      </c>
    </row>
    <row r="1543">
      <c r="A1543" s="2" t="n">
        <v>46468</v>
      </c>
      <c r="B1543" s="3" t="n">
        <v>2027</v>
      </c>
      <c r="C1543" s="3" t="n">
        <v>3</v>
      </c>
      <c r="D1543" s="3" t="n">
        <v>12</v>
      </c>
      <c r="E1543" s="3" t="inlineStr">
        <is>
          <t>S27-12</t>
        </is>
      </c>
    </row>
    <row r="1544">
      <c r="A1544" s="2" t="n">
        <v>46469</v>
      </c>
      <c r="B1544" s="3" t="n">
        <v>2027</v>
      </c>
      <c r="C1544" s="3" t="n">
        <v>3</v>
      </c>
      <c r="D1544" s="3" t="n">
        <v>12</v>
      </c>
      <c r="E1544" s="3" t="inlineStr">
        <is>
          <t>S27-12</t>
        </is>
      </c>
    </row>
    <row r="1545">
      <c r="A1545" s="2" t="n">
        <v>46470</v>
      </c>
      <c r="B1545" s="3" t="n">
        <v>2027</v>
      </c>
      <c r="C1545" s="3" t="n">
        <v>3</v>
      </c>
      <c r="D1545" s="3" t="n">
        <v>12</v>
      </c>
      <c r="E1545" s="3" t="inlineStr">
        <is>
          <t>S27-12</t>
        </is>
      </c>
    </row>
    <row r="1546">
      <c r="A1546" s="2" t="n">
        <v>46471</v>
      </c>
      <c r="B1546" s="3" t="n">
        <v>2027</v>
      </c>
      <c r="C1546" s="3" t="n">
        <v>3</v>
      </c>
      <c r="D1546" s="3" t="n">
        <v>12</v>
      </c>
      <c r="E1546" s="3" t="inlineStr">
        <is>
          <t>S27-12</t>
        </is>
      </c>
    </row>
    <row r="1547">
      <c r="A1547" s="2" t="n">
        <v>46472</v>
      </c>
      <c r="B1547" s="3" t="n">
        <v>2027</v>
      </c>
      <c r="C1547" s="3" t="n">
        <v>3</v>
      </c>
      <c r="D1547" s="3" t="n">
        <v>12</v>
      </c>
      <c r="E1547" s="3" t="inlineStr">
        <is>
          <t>S27-12</t>
        </is>
      </c>
    </row>
    <row r="1548">
      <c r="A1548" s="2" t="n">
        <v>46473</v>
      </c>
      <c r="B1548" s="3" t="n">
        <v>2027</v>
      </c>
      <c r="C1548" s="3" t="n">
        <v>3</v>
      </c>
      <c r="D1548" s="3" t="n">
        <v>12</v>
      </c>
      <c r="E1548" s="3" t="inlineStr">
        <is>
          <t>S27-12</t>
        </is>
      </c>
    </row>
    <row r="1549">
      <c r="A1549" s="2" t="n">
        <v>46474</v>
      </c>
      <c r="B1549" s="3" t="n">
        <v>2027</v>
      </c>
      <c r="C1549" s="3" t="n">
        <v>3</v>
      </c>
      <c r="D1549" s="3" t="n">
        <v>12</v>
      </c>
      <c r="E1549" s="3" t="inlineStr">
        <is>
          <t>S27-12</t>
        </is>
      </c>
    </row>
    <row r="1550">
      <c r="A1550" s="2" t="n">
        <v>46475</v>
      </c>
      <c r="B1550" s="3" t="n">
        <v>2027</v>
      </c>
      <c r="C1550" s="3" t="n">
        <v>3</v>
      </c>
      <c r="D1550" s="3" t="n">
        <v>13</v>
      </c>
      <c r="E1550" s="3" t="inlineStr">
        <is>
          <t>S27-13</t>
        </is>
      </c>
    </row>
    <row r="1551">
      <c r="A1551" s="2" t="n">
        <v>46476</v>
      </c>
      <c r="B1551" s="3" t="n">
        <v>2027</v>
      </c>
      <c r="C1551" s="3" t="n">
        <v>3</v>
      </c>
      <c r="D1551" s="3" t="n">
        <v>13</v>
      </c>
      <c r="E1551" s="3" t="inlineStr">
        <is>
          <t>S27-13</t>
        </is>
      </c>
    </row>
    <row r="1552">
      <c r="A1552" s="2" t="n">
        <v>46477</v>
      </c>
      <c r="B1552" s="3" t="n">
        <v>2027</v>
      </c>
      <c r="C1552" s="3" t="n">
        <v>3</v>
      </c>
      <c r="D1552" s="3" t="n">
        <v>13</v>
      </c>
      <c r="E1552" s="3" t="inlineStr">
        <is>
          <t>S27-13</t>
        </is>
      </c>
    </row>
    <row r="1553">
      <c r="A1553" s="2" t="n">
        <v>46478</v>
      </c>
      <c r="B1553" s="3" t="n">
        <v>2027</v>
      </c>
      <c r="C1553" s="3" t="n">
        <v>4</v>
      </c>
      <c r="D1553" s="3" t="n">
        <v>13</v>
      </c>
      <c r="E1553" s="3" t="inlineStr">
        <is>
          <t>S27-13</t>
        </is>
      </c>
    </row>
    <row r="1554">
      <c r="A1554" s="2" t="n">
        <v>46479</v>
      </c>
      <c r="B1554" s="3" t="n">
        <v>2027</v>
      </c>
      <c r="C1554" s="3" t="n">
        <v>4</v>
      </c>
      <c r="D1554" s="3" t="n">
        <v>13</v>
      </c>
      <c r="E1554" s="3" t="inlineStr">
        <is>
          <t>S27-13</t>
        </is>
      </c>
    </row>
    <row r="1555">
      <c r="A1555" s="2" t="n">
        <v>46480</v>
      </c>
      <c r="B1555" s="3" t="n">
        <v>2027</v>
      </c>
      <c r="C1555" s="3" t="n">
        <v>4</v>
      </c>
      <c r="D1555" s="3" t="n">
        <v>13</v>
      </c>
      <c r="E1555" s="3" t="inlineStr">
        <is>
          <t>S27-13</t>
        </is>
      </c>
    </row>
    <row r="1556">
      <c r="A1556" s="2" t="n">
        <v>46481</v>
      </c>
      <c r="B1556" s="3" t="n">
        <v>2027</v>
      </c>
      <c r="C1556" s="3" t="n">
        <v>4</v>
      </c>
      <c r="D1556" s="3" t="n">
        <v>13</v>
      </c>
      <c r="E1556" s="3" t="inlineStr">
        <is>
          <t>S27-13</t>
        </is>
      </c>
    </row>
    <row r="1557">
      <c r="A1557" s="2" t="n">
        <v>46482</v>
      </c>
      <c r="B1557" s="3" t="n">
        <v>2027</v>
      </c>
      <c r="C1557" s="3" t="n">
        <v>4</v>
      </c>
      <c r="D1557" s="3" t="n">
        <v>14</v>
      </c>
      <c r="E1557" s="3" t="inlineStr">
        <is>
          <t>S27-14</t>
        </is>
      </c>
    </row>
    <row r="1558">
      <c r="A1558" s="2" t="n">
        <v>46483</v>
      </c>
      <c r="B1558" s="3" t="n">
        <v>2027</v>
      </c>
      <c r="C1558" s="3" t="n">
        <v>4</v>
      </c>
      <c r="D1558" s="3" t="n">
        <v>14</v>
      </c>
      <c r="E1558" s="3" t="inlineStr">
        <is>
          <t>S27-14</t>
        </is>
      </c>
    </row>
    <row r="1559">
      <c r="A1559" s="2" t="n">
        <v>46484</v>
      </c>
      <c r="B1559" s="3" t="n">
        <v>2027</v>
      </c>
      <c r="C1559" s="3" t="n">
        <v>4</v>
      </c>
      <c r="D1559" s="3" t="n">
        <v>14</v>
      </c>
      <c r="E1559" s="3" t="inlineStr">
        <is>
          <t>S27-14</t>
        </is>
      </c>
    </row>
    <row r="1560">
      <c r="A1560" s="2" t="n">
        <v>46485</v>
      </c>
      <c r="B1560" s="3" t="n">
        <v>2027</v>
      </c>
      <c r="C1560" s="3" t="n">
        <v>4</v>
      </c>
      <c r="D1560" s="3" t="n">
        <v>14</v>
      </c>
      <c r="E1560" s="3" t="inlineStr">
        <is>
          <t>S27-14</t>
        </is>
      </c>
    </row>
    <row r="1561">
      <c r="A1561" s="2" t="n">
        <v>46486</v>
      </c>
      <c r="B1561" s="3" t="n">
        <v>2027</v>
      </c>
      <c r="C1561" s="3" t="n">
        <v>4</v>
      </c>
      <c r="D1561" s="3" t="n">
        <v>14</v>
      </c>
      <c r="E1561" s="3" t="inlineStr">
        <is>
          <t>S27-14</t>
        </is>
      </c>
    </row>
    <row r="1562">
      <c r="A1562" s="2" t="n">
        <v>46487</v>
      </c>
      <c r="B1562" s="3" t="n">
        <v>2027</v>
      </c>
      <c r="C1562" s="3" t="n">
        <v>4</v>
      </c>
      <c r="D1562" s="3" t="n">
        <v>14</v>
      </c>
      <c r="E1562" s="3" t="inlineStr">
        <is>
          <t>S27-14</t>
        </is>
      </c>
    </row>
    <row r="1563">
      <c r="A1563" s="2" t="n">
        <v>46488</v>
      </c>
      <c r="B1563" s="3" t="n">
        <v>2027</v>
      </c>
      <c r="C1563" s="3" t="n">
        <v>4</v>
      </c>
      <c r="D1563" s="3" t="n">
        <v>14</v>
      </c>
      <c r="E1563" s="3" t="inlineStr">
        <is>
          <t>S27-14</t>
        </is>
      </c>
    </row>
    <row r="1564">
      <c r="A1564" s="2" t="n">
        <v>46489</v>
      </c>
      <c r="B1564" s="3" t="n">
        <v>2027</v>
      </c>
      <c r="C1564" s="3" t="n">
        <v>4</v>
      </c>
      <c r="D1564" s="3" t="n">
        <v>15</v>
      </c>
      <c r="E1564" s="3" t="inlineStr">
        <is>
          <t>S27-15</t>
        </is>
      </c>
    </row>
    <row r="1565">
      <c r="A1565" s="2" t="n">
        <v>46490</v>
      </c>
      <c r="B1565" s="3" t="n">
        <v>2027</v>
      </c>
      <c r="C1565" s="3" t="n">
        <v>4</v>
      </c>
      <c r="D1565" s="3" t="n">
        <v>15</v>
      </c>
      <c r="E1565" s="3" t="inlineStr">
        <is>
          <t>S27-15</t>
        </is>
      </c>
    </row>
    <row r="1566">
      <c r="A1566" s="2" t="n">
        <v>46491</v>
      </c>
      <c r="B1566" s="3" t="n">
        <v>2027</v>
      </c>
      <c r="C1566" s="3" t="n">
        <v>4</v>
      </c>
      <c r="D1566" s="3" t="n">
        <v>15</v>
      </c>
      <c r="E1566" s="3" t="inlineStr">
        <is>
          <t>S27-15</t>
        </is>
      </c>
    </row>
    <row r="1567">
      <c r="A1567" s="2" t="n">
        <v>46492</v>
      </c>
      <c r="B1567" s="3" t="n">
        <v>2027</v>
      </c>
      <c r="C1567" s="3" t="n">
        <v>4</v>
      </c>
      <c r="D1567" s="3" t="n">
        <v>15</v>
      </c>
      <c r="E1567" s="3" t="inlineStr">
        <is>
          <t>S27-15</t>
        </is>
      </c>
    </row>
    <row r="1568">
      <c r="A1568" s="2" t="n">
        <v>46493</v>
      </c>
      <c r="B1568" s="3" t="n">
        <v>2027</v>
      </c>
      <c r="C1568" s="3" t="n">
        <v>4</v>
      </c>
      <c r="D1568" s="3" t="n">
        <v>15</v>
      </c>
      <c r="E1568" s="3" t="inlineStr">
        <is>
          <t>S27-15</t>
        </is>
      </c>
    </row>
    <row r="1569">
      <c r="A1569" s="2" t="n">
        <v>46494</v>
      </c>
      <c r="B1569" s="3" t="n">
        <v>2027</v>
      </c>
      <c r="C1569" s="3" t="n">
        <v>4</v>
      </c>
      <c r="D1569" s="3" t="n">
        <v>15</v>
      </c>
      <c r="E1569" s="3" t="inlineStr">
        <is>
          <t>S27-15</t>
        </is>
      </c>
    </row>
    <row r="1570">
      <c r="A1570" s="2" t="n">
        <v>46495</v>
      </c>
      <c r="B1570" s="3" t="n">
        <v>2027</v>
      </c>
      <c r="C1570" s="3" t="n">
        <v>4</v>
      </c>
      <c r="D1570" s="3" t="n">
        <v>15</v>
      </c>
      <c r="E1570" s="3" t="inlineStr">
        <is>
          <t>S27-15</t>
        </is>
      </c>
    </row>
    <row r="1571">
      <c r="A1571" s="2" t="n">
        <v>46496</v>
      </c>
      <c r="B1571" s="3" t="n">
        <v>2027</v>
      </c>
      <c r="C1571" s="3" t="n">
        <v>4</v>
      </c>
      <c r="D1571" s="3" t="n">
        <v>16</v>
      </c>
      <c r="E1571" s="3" t="inlineStr">
        <is>
          <t>S27-16</t>
        </is>
      </c>
    </row>
    <row r="1572">
      <c r="A1572" s="2" t="n">
        <v>46497</v>
      </c>
      <c r="B1572" s="3" t="n">
        <v>2027</v>
      </c>
      <c r="C1572" s="3" t="n">
        <v>4</v>
      </c>
      <c r="D1572" s="3" t="n">
        <v>16</v>
      </c>
      <c r="E1572" s="3" t="inlineStr">
        <is>
          <t>S27-16</t>
        </is>
      </c>
    </row>
    <row r="1573">
      <c r="A1573" s="2" t="n">
        <v>46498</v>
      </c>
      <c r="B1573" s="3" t="n">
        <v>2027</v>
      </c>
      <c r="C1573" s="3" t="n">
        <v>4</v>
      </c>
      <c r="D1573" s="3" t="n">
        <v>16</v>
      </c>
      <c r="E1573" s="3" t="inlineStr">
        <is>
          <t>S27-16</t>
        </is>
      </c>
    </row>
    <row r="1574">
      <c r="A1574" s="2" t="n">
        <v>46499</v>
      </c>
      <c r="B1574" s="3" t="n">
        <v>2027</v>
      </c>
      <c r="C1574" s="3" t="n">
        <v>4</v>
      </c>
      <c r="D1574" s="3" t="n">
        <v>16</v>
      </c>
      <c r="E1574" s="3" t="inlineStr">
        <is>
          <t>S27-16</t>
        </is>
      </c>
    </row>
    <row r="1575">
      <c r="A1575" s="2" t="n">
        <v>46500</v>
      </c>
      <c r="B1575" s="3" t="n">
        <v>2027</v>
      </c>
      <c r="C1575" s="3" t="n">
        <v>4</v>
      </c>
      <c r="D1575" s="3" t="n">
        <v>16</v>
      </c>
      <c r="E1575" s="3" t="inlineStr">
        <is>
          <t>S27-16</t>
        </is>
      </c>
    </row>
    <row r="1576">
      <c r="A1576" s="2" t="n">
        <v>46501</v>
      </c>
      <c r="B1576" s="3" t="n">
        <v>2027</v>
      </c>
      <c r="C1576" s="3" t="n">
        <v>4</v>
      </c>
      <c r="D1576" s="3" t="n">
        <v>16</v>
      </c>
      <c r="E1576" s="3" t="inlineStr">
        <is>
          <t>S27-16</t>
        </is>
      </c>
    </row>
    <row r="1577">
      <c r="A1577" s="2" t="n">
        <v>46502</v>
      </c>
      <c r="B1577" s="3" t="n">
        <v>2027</v>
      </c>
      <c r="C1577" s="3" t="n">
        <v>4</v>
      </c>
      <c r="D1577" s="3" t="n">
        <v>16</v>
      </c>
      <c r="E1577" s="3" t="inlineStr">
        <is>
          <t>S27-16</t>
        </is>
      </c>
    </row>
    <row r="1578">
      <c r="A1578" s="2" t="n">
        <v>46503</v>
      </c>
      <c r="B1578" s="3" t="n">
        <v>2027</v>
      </c>
      <c r="C1578" s="3" t="n">
        <v>4</v>
      </c>
      <c r="D1578" s="3" t="n">
        <v>17</v>
      </c>
      <c r="E1578" s="3" t="inlineStr">
        <is>
          <t>S27-17</t>
        </is>
      </c>
    </row>
    <row r="1579">
      <c r="A1579" s="2" t="n">
        <v>46504</v>
      </c>
      <c r="B1579" s="3" t="n">
        <v>2027</v>
      </c>
      <c r="C1579" s="3" t="n">
        <v>4</v>
      </c>
      <c r="D1579" s="3" t="n">
        <v>17</v>
      </c>
      <c r="E1579" s="3" t="inlineStr">
        <is>
          <t>S27-17</t>
        </is>
      </c>
    </row>
    <row r="1580">
      <c r="A1580" s="2" t="n">
        <v>46505</v>
      </c>
      <c r="B1580" s="3" t="n">
        <v>2027</v>
      </c>
      <c r="C1580" s="3" t="n">
        <v>4</v>
      </c>
      <c r="D1580" s="3" t="n">
        <v>17</v>
      </c>
      <c r="E1580" s="3" t="inlineStr">
        <is>
          <t>S27-17</t>
        </is>
      </c>
    </row>
    <row r="1581">
      <c r="A1581" s="2" t="n">
        <v>46506</v>
      </c>
      <c r="B1581" s="3" t="n">
        <v>2027</v>
      </c>
      <c r="C1581" s="3" t="n">
        <v>4</v>
      </c>
      <c r="D1581" s="3" t="n">
        <v>17</v>
      </c>
      <c r="E1581" s="3" t="inlineStr">
        <is>
          <t>S27-17</t>
        </is>
      </c>
    </row>
    <row r="1582">
      <c r="A1582" s="2" t="n">
        <v>46507</v>
      </c>
      <c r="B1582" s="3" t="n">
        <v>2027</v>
      </c>
      <c r="C1582" s="3" t="n">
        <v>4</v>
      </c>
      <c r="D1582" s="3" t="n">
        <v>17</v>
      </c>
      <c r="E1582" s="3" t="inlineStr">
        <is>
          <t>S27-17</t>
        </is>
      </c>
    </row>
    <row r="1583">
      <c r="A1583" s="2" t="n">
        <v>46508</v>
      </c>
      <c r="B1583" s="3" t="n">
        <v>2027</v>
      </c>
      <c r="C1583" s="3" t="n">
        <v>5</v>
      </c>
      <c r="D1583" s="3" t="n">
        <v>17</v>
      </c>
      <c r="E1583" s="3" t="inlineStr">
        <is>
          <t>S27-17</t>
        </is>
      </c>
    </row>
    <row r="1584">
      <c r="A1584" s="2" t="n">
        <v>46509</v>
      </c>
      <c r="B1584" s="3" t="n">
        <v>2027</v>
      </c>
      <c r="C1584" s="3" t="n">
        <v>5</v>
      </c>
      <c r="D1584" s="3" t="n">
        <v>17</v>
      </c>
      <c r="E1584" s="3" t="inlineStr">
        <is>
          <t>S27-17</t>
        </is>
      </c>
    </row>
    <row r="1585">
      <c r="A1585" s="2" t="n">
        <v>46510</v>
      </c>
      <c r="B1585" s="3" t="n">
        <v>2027</v>
      </c>
      <c r="C1585" s="3" t="n">
        <v>5</v>
      </c>
      <c r="D1585" s="3" t="n">
        <v>18</v>
      </c>
      <c r="E1585" s="3" t="inlineStr">
        <is>
          <t>S27-18</t>
        </is>
      </c>
    </row>
    <row r="1586">
      <c r="A1586" s="2" t="n">
        <v>46511</v>
      </c>
      <c r="B1586" s="3" t="n">
        <v>2027</v>
      </c>
      <c r="C1586" s="3" t="n">
        <v>5</v>
      </c>
      <c r="D1586" s="3" t="n">
        <v>18</v>
      </c>
      <c r="E1586" s="3" t="inlineStr">
        <is>
          <t>S27-18</t>
        </is>
      </c>
    </row>
    <row r="1587">
      <c r="A1587" s="2" t="n">
        <v>46512</v>
      </c>
      <c r="B1587" s="3" t="n">
        <v>2027</v>
      </c>
      <c r="C1587" s="3" t="n">
        <v>5</v>
      </c>
      <c r="D1587" s="3" t="n">
        <v>18</v>
      </c>
      <c r="E1587" s="3" t="inlineStr">
        <is>
          <t>S27-18</t>
        </is>
      </c>
    </row>
    <row r="1588">
      <c r="A1588" s="2" t="n">
        <v>46513</v>
      </c>
      <c r="B1588" s="3" t="n">
        <v>2027</v>
      </c>
      <c r="C1588" s="3" t="n">
        <v>5</v>
      </c>
      <c r="D1588" s="3" t="n">
        <v>18</v>
      </c>
      <c r="E1588" s="3" t="inlineStr">
        <is>
          <t>S27-18</t>
        </is>
      </c>
    </row>
    <row r="1589">
      <c r="A1589" s="2" t="n">
        <v>46514</v>
      </c>
      <c r="B1589" s="3" t="n">
        <v>2027</v>
      </c>
      <c r="C1589" s="3" t="n">
        <v>5</v>
      </c>
      <c r="D1589" s="3" t="n">
        <v>18</v>
      </c>
      <c r="E1589" s="3" t="inlineStr">
        <is>
          <t>S27-18</t>
        </is>
      </c>
    </row>
    <row r="1590">
      <c r="A1590" s="2" t="n">
        <v>46515</v>
      </c>
      <c r="B1590" s="3" t="n">
        <v>2027</v>
      </c>
      <c r="C1590" s="3" t="n">
        <v>5</v>
      </c>
      <c r="D1590" s="3" t="n">
        <v>18</v>
      </c>
      <c r="E1590" s="3" t="inlineStr">
        <is>
          <t>S27-18</t>
        </is>
      </c>
    </row>
    <row r="1591">
      <c r="A1591" s="2" t="n">
        <v>46516</v>
      </c>
      <c r="B1591" s="3" t="n">
        <v>2027</v>
      </c>
      <c r="C1591" s="3" t="n">
        <v>5</v>
      </c>
      <c r="D1591" s="3" t="n">
        <v>18</v>
      </c>
      <c r="E1591" s="3" t="inlineStr">
        <is>
          <t>S27-18</t>
        </is>
      </c>
    </row>
    <row r="1592">
      <c r="A1592" s="2" t="n">
        <v>46517</v>
      </c>
      <c r="B1592" s="3" t="n">
        <v>2027</v>
      </c>
      <c r="C1592" s="3" t="n">
        <v>5</v>
      </c>
      <c r="D1592" s="3" t="n">
        <v>19</v>
      </c>
      <c r="E1592" s="3" t="inlineStr">
        <is>
          <t>S27-19</t>
        </is>
      </c>
    </row>
    <row r="1593">
      <c r="A1593" s="2" t="n">
        <v>46518</v>
      </c>
      <c r="B1593" s="3" t="n">
        <v>2027</v>
      </c>
      <c r="C1593" s="3" t="n">
        <v>5</v>
      </c>
      <c r="D1593" s="3" t="n">
        <v>19</v>
      </c>
      <c r="E1593" s="3" t="inlineStr">
        <is>
          <t>S27-19</t>
        </is>
      </c>
    </row>
    <row r="1594">
      <c r="A1594" s="2" t="n">
        <v>46519</v>
      </c>
      <c r="B1594" s="3" t="n">
        <v>2027</v>
      </c>
      <c r="C1594" s="3" t="n">
        <v>5</v>
      </c>
      <c r="D1594" s="3" t="n">
        <v>19</v>
      </c>
      <c r="E1594" s="3" t="inlineStr">
        <is>
          <t>S27-19</t>
        </is>
      </c>
    </row>
    <row r="1595">
      <c r="A1595" s="2" t="n">
        <v>46520</v>
      </c>
      <c r="B1595" s="3" t="n">
        <v>2027</v>
      </c>
      <c r="C1595" s="3" t="n">
        <v>5</v>
      </c>
      <c r="D1595" s="3" t="n">
        <v>19</v>
      </c>
      <c r="E1595" s="3" t="inlineStr">
        <is>
          <t>S27-19</t>
        </is>
      </c>
    </row>
    <row r="1596">
      <c r="A1596" s="2" t="n">
        <v>46521</v>
      </c>
      <c r="B1596" s="3" t="n">
        <v>2027</v>
      </c>
      <c r="C1596" s="3" t="n">
        <v>5</v>
      </c>
      <c r="D1596" s="3" t="n">
        <v>19</v>
      </c>
      <c r="E1596" s="3" t="inlineStr">
        <is>
          <t>S27-19</t>
        </is>
      </c>
    </row>
    <row r="1597">
      <c r="A1597" s="2" t="n">
        <v>46522</v>
      </c>
      <c r="B1597" s="3" t="n">
        <v>2027</v>
      </c>
      <c r="C1597" s="3" t="n">
        <v>5</v>
      </c>
      <c r="D1597" s="3" t="n">
        <v>19</v>
      </c>
      <c r="E1597" s="3" t="inlineStr">
        <is>
          <t>S27-19</t>
        </is>
      </c>
    </row>
    <row r="1598">
      <c r="A1598" s="2" t="n">
        <v>46523</v>
      </c>
      <c r="B1598" s="3" t="n">
        <v>2027</v>
      </c>
      <c r="C1598" s="3" t="n">
        <v>5</v>
      </c>
      <c r="D1598" s="3" t="n">
        <v>19</v>
      </c>
      <c r="E1598" s="3" t="inlineStr">
        <is>
          <t>S27-19</t>
        </is>
      </c>
    </row>
    <row r="1599">
      <c r="A1599" s="2" t="n">
        <v>46524</v>
      </c>
      <c r="B1599" s="3" t="n">
        <v>2027</v>
      </c>
      <c r="C1599" s="3" t="n">
        <v>5</v>
      </c>
      <c r="D1599" s="3" t="n">
        <v>20</v>
      </c>
      <c r="E1599" s="3" t="inlineStr">
        <is>
          <t>S27-20</t>
        </is>
      </c>
    </row>
    <row r="1600">
      <c r="A1600" s="2" t="n">
        <v>46525</v>
      </c>
      <c r="B1600" s="3" t="n">
        <v>2027</v>
      </c>
      <c r="C1600" s="3" t="n">
        <v>5</v>
      </c>
      <c r="D1600" s="3" t="n">
        <v>20</v>
      </c>
      <c r="E1600" s="3" t="inlineStr">
        <is>
          <t>S27-20</t>
        </is>
      </c>
    </row>
    <row r="1601">
      <c r="A1601" s="2" t="n">
        <v>46526</v>
      </c>
      <c r="B1601" s="3" t="n">
        <v>2027</v>
      </c>
      <c r="C1601" s="3" t="n">
        <v>5</v>
      </c>
      <c r="D1601" s="3" t="n">
        <v>20</v>
      </c>
      <c r="E1601" s="3" t="inlineStr">
        <is>
          <t>S27-20</t>
        </is>
      </c>
    </row>
    <row r="1602">
      <c r="A1602" s="2" t="n">
        <v>46527</v>
      </c>
      <c r="B1602" s="3" t="n">
        <v>2027</v>
      </c>
      <c r="C1602" s="3" t="n">
        <v>5</v>
      </c>
      <c r="D1602" s="3" t="n">
        <v>20</v>
      </c>
      <c r="E1602" s="3" t="inlineStr">
        <is>
          <t>S27-20</t>
        </is>
      </c>
    </row>
    <row r="1603">
      <c r="A1603" s="2" t="n">
        <v>46528</v>
      </c>
      <c r="B1603" s="3" t="n">
        <v>2027</v>
      </c>
      <c r="C1603" s="3" t="n">
        <v>5</v>
      </c>
      <c r="D1603" s="3" t="n">
        <v>20</v>
      </c>
      <c r="E1603" s="3" t="inlineStr">
        <is>
          <t>S27-20</t>
        </is>
      </c>
    </row>
    <row r="1604">
      <c r="A1604" s="2" t="n">
        <v>46529</v>
      </c>
      <c r="B1604" s="3" t="n">
        <v>2027</v>
      </c>
      <c r="C1604" s="3" t="n">
        <v>5</v>
      </c>
      <c r="D1604" s="3" t="n">
        <v>20</v>
      </c>
      <c r="E1604" s="3" t="inlineStr">
        <is>
          <t>S27-20</t>
        </is>
      </c>
    </row>
    <row r="1605">
      <c r="A1605" s="2" t="n">
        <v>46530</v>
      </c>
      <c r="B1605" s="3" t="n">
        <v>2027</v>
      </c>
      <c r="C1605" s="3" t="n">
        <v>5</v>
      </c>
      <c r="D1605" s="3" t="n">
        <v>20</v>
      </c>
      <c r="E1605" s="3" t="inlineStr">
        <is>
          <t>S27-20</t>
        </is>
      </c>
    </row>
    <row r="1606">
      <c r="A1606" s="2" t="n">
        <v>46531</v>
      </c>
      <c r="B1606" s="3" t="n">
        <v>2027</v>
      </c>
      <c r="C1606" s="3" t="n">
        <v>5</v>
      </c>
      <c r="D1606" s="3" t="n">
        <v>21</v>
      </c>
      <c r="E1606" s="3" t="inlineStr">
        <is>
          <t>S27-21</t>
        </is>
      </c>
    </row>
    <row r="1607">
      <c r="A1607" s="2" t="n">
        <v>46532</v>
      </c>
      <c r="B1607" s="3" t="n">
        <v>2027</v>
      </c>
      <c r="C1607" s="3" t="n">
        <v>5</v>
      </c>
      <c r="D1607" s="3" t="n">
        <v>21</v>
      </c>
      <c r="E1607" s="3" t="inlineStr">
        <is>
          <t>S27-21</t>
        </is>
      </c>
    </row>
    <row r="1608">
      <c r="A1608" s="2" t="n">
        <v>46533</v>
      </c>
      <c r="B1608" s="3" t="n">
        <v>2027</v>
      </c>
      <c r="C1608" s="3" t="n">
        <v>5</v>
      </c>
      <c r="D1608" s="3" t="n">
        <v>21</v>
      </c>
      <c r="E1608" s="3" t="inlineStr">
        <is>
          <t>S27-21</t>
        </is>
      </c>
    </row>
    <row r="1609">
      <c r="A1609" s="2" t="n">
        <v>46534</v>
      </c>
      <c r="B1609" s="3" t="n">
        <v>2027</v>
      </c>
      <c r="C1609" s="3" t="n">
        <v>5</v>
      </c>
      <c r="D1609" s="3" t="n">
        <v>21</v>
      </c>
      <c r="E1609" s="3" t="inlineStr">
        <is>
          <t>S27-21</t>
        </is>
      </c>
    </row>
    <row r="1610">
      <c r="A1610" s="2" t="n">
        <v>46535</v>
      </c>
      <c r="B1610" s="3" t="n">
        <v>2027</v>
      </c>
      <c r="C1610" s="3" t="n">
        <v>5</v>
      </c>
      <c r="D1610" s="3" t="n">
        <v>21</v>
      </c>
      <c r="E1610" s="3" t="inlineStr">
        <is>
          <t>S27-21</t>
        </is>
      </c>
    </row>
    <row r="1611">
      <c r="A1611" s="2" t="n">
        <v>46536</v>
      </c>
      <c r="B1611" s="3" t="n">
        <v>2027</v>
      </c>
      <c r="C1611" s="3" t="n">
        <v>5</v>
      </c>
      <c r="D1611" s="3" t="n">
        <v>21</v>
      </c>
      <c r="E1611" s="3" t="inlineStr">
        <is>
          <t>S27-21</t>
        </is>
      </c>
    </row>
    <row r="1612">
      <c r="A1612" s="2" t="n">
        <v>46537</v>
      </c>
      <c r="B1612" s="3" t="n">
        <v>2027</v>
      </c>
      <c r="C1612" s="3" t="n">
        <v>5</v>
      </c>
      <c r="D1612" s="3" t="n">
        <v>21</v>
      </c>
      <c r="E1612" s="3" t="inlineStr">
        <is>
          <t>S27-21</t>
        </is>
      </c>
    </row>
    <row r="1613">
      <c r="A1613" s="2" t="n">
        <v>46538</v>
      </c>
      <c r="B1613" s="3" t="n">
        <v>2027</v>
      </c>
      <c r="C1613" s="3" t="n">
        <v>5</v>
      </c>
      <c r="D1613" s="3" t="n">
        <v>22</v>
      </c>
      <c r="E1613" s="3" t="inlineStr">
        <is>
          <t>S27-22</t>
        </is>
      </c>
    </row>
    <row r="1614">
      <c r="A1614" s="2" t="n">
        <v>46539</v>
      </c>
      <c r="B1614" s="3" t="n">
        <v>2027</v>
      </c>
      <c r="C1614" s="3" t="n">
        <v>6</v>
      </c>
      <c r="D1614" s="3" t="n">
        <v>22</v>
      </c>
      <c r="E1614" s="3" t="inlineStr">
        <is>
          <t>S27-22</t>
        </is>
      </c>
    </row>
    <row r="1615">
      <c r="A1615" s="2" t="n">
        <v>46540</v>
      </c>
      <c r="B1615" s="3" t="n">
        <v>2027</v>
      </c>
      <c r="C1615" s="3" t="n">
        <v>6</v>
      </c>
      <c r="D1615" s="3" t="n">
        <v>22</v>
      </c>
      <c r="E1615" s="3" t="inlineStr">
        <is>
          <t>S27-22</t>
        </is>
      </c>
    </row>
    <row r="1616">
      <c r="A1616" s="2" t="n">
        <v>46541</v>
      </c>
      <c r="B1616" s="3" t="n">
        <v>2027</v>
      </c>
      <c r="C1616" s="3" t="n">
        <v>6</v>
      </c>
      <c r="D1616" s="3" t="n">
        <v>22</v>
      </c>
      <c r="E1616" s="3" t="inlineStr">
        <is>
          <t>S27-22</t>
        </is>
      </c>
    </row>
    <row r="1617">
      <c r="A1617" s="2" t="n">
        <v>46542</v>
      </c>
      <c r="B1617" s="3" t="n">
        <v>2027</v>
      </c>
      <c r="C1617" s="3" t="n">
        <v>6</v>
      </c>
      <c r="D1617" s="3" t="n">
        <v>22</v>
      </c>
      <c r="E1617" s="3" t="inlineStr">
        <is>
          <t>S27-22</t>
        </is>
      </c>
    </row>
    <row r="1618">
      <c r="A1618" s="2" t="n">
        <v>46543</v>
      </c>
      <c r="B1618" s="3" t="n">
        <v>2027</v>
      </c>
      <c r="C1618" s="3" t="n">
        <v>6</v>
      </c>
      <c r="D1618" s="3" t="n">
        <v>22</v>
      </c>
      <c r="E1618" s="3" t="inlineStr">
        <is>
          <t>S27-22</t>
        </is>
      </c>
    </row>
    <row r="1619">
      <c r="A1619" s="2" t="n">
        <v>46544</v>
      </c>
      <c r="B1619" s="3" t="n">
        <v>2027</v>
      </c>
      <c r="C1619" s="3" t="n">
        <v>6</v>
      </c>
      <c r="D1619" s="3" t="n">
        <v>22</v>
      </c>
      <c r="E1619" s="3" t="inlineStr">
        <is>
          <t>S27-22</t>
        </is>
      </c>
    </row>
    <row r="1620">
      <c r="A1620" s="2" t="n">
        <v>46545</v>
      </c>
      <c r="B1620" s="3" t="n">
        <v>2027</v>
      </c>
      <c r="C1620" s="3" t="n">
        <v>6</v>
      </c>
      <c r="D1620" s="3" t="n">
        <v>23</v>
      </c>
      <c r="E1620" s="3" t="inlineStr">
        <is>
          <t>S27-23</t>
        </is>
      </c>
    </row>
    <row r="1621">
      <c r="A1621" s="2" t="n">
        <v>46546</v>
      </c>
      <c r="B1621" s="3" t="n">
        <v>2027</v>
      </c>
      <c r="C1621" s="3" t="n">
        <v>6</v>
      </c>
      <c r="D1621" s="3" t="n">
        <v>23</v>
      </c>
      <c r="E1621" s="3" t="inlineStr">
        <is>
          <t>S27-23</t>
        </is>
      </c>
    </row>
    <row r="1622">
      <c r="A1622" s="2" t="n">
        <v>46547</v>
      </c>
      <c r="B1622" s="3" t="n">
        <v>2027</v>
      </c>
      <c r="C1622" s="3" t="n">
        <v>6</v>
      </c>
      <c r="D1622" s="3" t="n">
        <v>23</v>
      </c>
      <c r="E1622" s="3" t="inlineStr">
        <is>
          <t>S27-23</t>
        </is>
      </c>
    </row>
    <row r="1623">
      <c r="A1623" s="2" t="n">
        <v>46548</v>
      </c>
      <c r="B1623" s="3" t="n">
        <v>2027</v>
      </c>
      <c r="C1623" s="3" t="n">
        <v>6</v>
      </c>
      <c r="D1623" s="3" t="n">
        <v>23</v>
      </c>
      <c r="E1623" s="3" t="inlineStr">
        <is>
          <t>S27-23</t>
        </is>
      </c>
    </row>
    <row r="1624">
      <c r="A1624" s="2" t="n">
        <v>46549</v>
      </c>
      <c r="B1624" s="3" t="n">
        <v>2027</v>
      </c>
      <c r="C1624" s="3" t="n">
        <v>6</v>
      </c>
      <c r="D1624" s="3" t="n">
        <v>23</v>
      </c>
      <c r="E1624" s="3" t="inlineStr">
        <is>
          <t>S27-23</t>
        </is>
      </c>
    </row>
    <row r="1625">
      <c r="A1625" s="2" t="n">
        <v>46550</v>
      </c>
      <c r="B1625" s="3" t="n">
        <v>2027</v>
      </c>
      <c r="C1625" s="3" t="n">
        <v>6</v>
      </c>
      <c r="D1625" s="3" t="n">
        <v>23</v>
      </c>
      <c r="E1625" s="3" t="inlineStr">
        <is>
          <t>S27-23</t>
        </is>
      </c>
    </row>
    <row r="1626">
      <c r="A1626" s="2" t="n">
        <v>46551</v>
      </c>
      <c r="B1626" s="3" t="n">
        <v>2027</v>
      </c>
      <c r="C1626" s="3" t="n">
        <v>6</v>
      </c>
      <c r="D1626" s="3" t="n">
        <v>23</v>
      </c>
      <c r="E1626" s="3" t="inlineStr">
        <is>
          <t>S27-23</t>
        </is>
      </c>
    </row>
    <row r="1627">
      <c r="A1627" s="2" t="n">
        <v>46552</v>
      </c>
      <c r="B1627" s="3" t="n">
        <v>2027</v>
      </c>
      <c r="C1627" s="3" t="n">
        <v>6</v>
      </c>
      <c r="D1627" s="3" t="n">
        <v>24</v>
      </c>
      <c r="E1627" s="3" t="inlineStr">
        <is>
          <t>S27-24</t>
        </is>
      </c>
    </row>
    <row r="1628">
      <c r="A1628" s="2" t="n">
        <v>46553</v>
      </c>
      <c r="B1628" s="3" t="n">
        <v>2027</v>
      </c>
      <c r="C1628" s="3" t="n">
        <v>6</v>
      </c>
      <c r="D1628" s="3" t="n">
        <v>24</v>
      </c>
      <c r="E1628" s="3" t="inlineStr">
        <is>
          <t>S27-24</t>
        </is>
      </c>
    </row>
    <row r="1629">
      <c r="A1629" s="2" t="n">
        <v>46554</v>
      </c>
      <c r="B1629" s="3" t="n">
        <v>2027</v>
      </c>
      <c r="C1629" s="3" t="n">
        <v>6</v>
      </c>
      <c r="D1629" s="3" t="n">
        <v>24</v>
      </c>
      <c r="E1629" s="3" t="inlineStr">
        <is>
          <t>S27-24</t>
        </is>
      </c>
    </row>
    <row r="1630">
      <c r="A1630" s="2" t="n">
        <v>46555</v>
      </c>
      <c r="B1630" s="3" t="n">
        <v>2027</v>
      </c>
      <c r="C1630" s="3" t="n">
        <v>6</v>
      </c>
      <c r="D1630" s="3" t="n">
        <v>24</v>
      </c>
      <c r="E1630" s="3" t="inlineStr">
        <is>
          <t>S27-24</t>
        </is>
      </c>
    </row>
    <row r="1631">
      <c r="A1631" s="2" t="n">
        <v>46556</v>
      </c>
      <c r="B1631" s="3" t="n">
        <v>2027</v>
      </c>
      <c r="C1631" s="3" t="n">
        <v>6</v>
      </c>
      <c r="D1631" s="3" t="n">
        <v>24</v>
      </c>
      <c r="E1631" s="3" t="inlineStr">
        <is>
          <t>S27-24</t>
        </is>
      </c>
    </row>
    <row r="1632">
      <c r="A1632" s="2" t="n">
        <v>46557</v>
      </c>
      <c r="B1632" s="3" t="n">
        <v>2027</v>
      </c>
      <c r="C1632" s="3" t="n">
        <v>6</v>
      </c>
      <c r="D1632" s="3" t="n">
        <v>24</v>
      </c>
      <c r="E1632" s="3" t="inlineStr">
        <is>
          <t>S27-24</t>
        </is>
      </c>
    </row>
    <row r="1633">
      <c r="A1633" s="2" t="n">
        <v>46558</v>
      </c>
      <c r="B1633" s="3" t="n">
        <v>2027</v>
      </c>
      <c r="C1633" s="3" t="n">
        <v>6</v>
      </c>
      <c r="D1633" s="3" t="n">
        <v>24</v>
      </c>
      <c r="E1633" s="3" t="inlineStr">
        <is>
          <t>S27-24</t>
        </is>
      </c>
    </row>
    <row r="1634">
      <c r="A1634" s="2" t="n">
        <v>46559</v>
      </c>
      <c r="B1634" s="3" t="n">
        <v>2027</v>
      </c>
      <c r="C1634" s="3" t="n">
        <v>6</v>
      </c>
      <c r="D1634" s="3" t="n">
        <v>25</v>
      </c>
      <c r="E1634" s="3" t="inlineStr">
        <is>
          <t>S27-25</t>
        </is>
      </c>
    </row>
    <row r="1635">
      <c r="A1635" s="2" t="n">
        <v>46560</v>
      </c>
      <c r="B1635" s="3" t="n">
        <v>2027</v>
      </c>
      <c r="C1635" s="3" t="n">
        <v>6</v>
      </c>
      <c r="D1635" s="3" t="n">
        <v>25</v>
      </c>
      <c r="E1635" s="3" t="inlineStr">
        <is>
          <t>S27-25</t>
        </is>
      </c>
    </row>
    <row r="1636">
      <c r="A1636" s="2" t="n">
        <v>46561</v>
      </c>
      <c r="B1636" s="3" t="n">
        <v>2027</v>
      </c>
      <c r="C1636" s="3" t="n">
        <v>6</v>
      </c>
      <c r="D1636" s="3" t="n">
        <v>25</v>
      </c>
      <c r="E1636" s="3" t="inlineStr">
        <is>
          <t>S27-25</t>
        </is>
      </c>
    </row>
    <row r="1637">
      <c r="A1637" s="2" t="n">
        <v>46562</v>
      </c>
      <c r="B1637" s="3" t="n">
        <v>2027</v>
      </c>
      <c r="C1637" s="3" t="n">
        <v>6</v>
      </c>
      <c r="D1637" s="3" t="n">
        <v>25</v>
      </c>
      <c r="E1637" s="3" t="inlineStr">
        <is>
          <t>S27-25</t>
        </is>
      </c>
    </row>
    <row r="1638">
      <c r="A1638" s="2" t="n">
        <v>46563</v>
      </c>
      <c r="B1638" s="3" t="n">
        <v>2027</v>
      </c>
      <c r="C1638" s="3" t="n">
        <v>6</v>
      </c>
      <c r="D1638" s="3" t="n">
        <v>25</v>
      </c>
      <c r="E1638" s="3" t="inlineStr">
        <is>
          <t>S27-25</t>
        </is>
      </c>
    </row>
    <row r="1639">
      <c r="A1639" s="2" t="n">
        <v>46564</v>
      </c>
      <c r="B1639" s="3" t="n">
        <v>2027</v>
      </c>
      <c r="C1639" s="3" t="n">
        <v>6</v>
      </c>
      <c r="D1639" s="3" t="n">
        <v>25</v>
      </c>
      <c r="E1639" s="3" t="inlineStr">
        <is>
          <t>S27-25</t>
        </is>
      </c>
    </row>
    <row r="1640">
      <c r="A1640" s="2" t="n">
        <v>46565</v>
      </c>
      <c r="B1640" s="3" t="n">
        <v>2027</v>
      </c>
      <c r="C1640" s="3" t="n">
        <v>6</v>
      </c>
      <c r="D1640" s="3" t="n">
        <v>25</v>
      </c>
      <c r="E1640" s="3" t="inlineStr">
        <is>
          <t>S27-25</t>
        </is>
      </c>
    </row>
    <row r="1641">
      <c r="A1641" s="2" t="n">
        <v>46566</v>
      </c>
      <c r="B1641" s="3" t="n">
        <v>2027</v>
      </c>
      <c r="C1641" s="3" t="n">
        <v>6</v>
      </c>
      <c r="D1641" s="3" t="n">
        <v>26</v>
      </c>
      <c r="E1641" s="3" t="inlineStr">
        <is>
          <t>S27-26</t>
        </is>
      </c>
    </row>
    <row r="1642">
      <c r="A1642" s="2" t="n">
        <v>46567</v>
      </c>
      <c r="B1642" s="3" t="n">
        <v>2027</v>
      </c>
      <c r="C1642" s="3" t="n">
        <v>6</v>
      </c>
      <c r="D1642" s="3" t="n">
        <v>26</v>
      </c>
      <c r="E1642" s="3" t="inlineStr">
        <is>
          <t>S27-26</t>
        </is>
      </c>
    </row>
    <row r="1643">
      <c r="A1643" s="2" t="n">
        <v>46568</v>
      </c>
      <c r="B1643" s="3" t="n">
        <v>2027</v>
      </c>
      <c r="C1643" s="3" t="n">
        <v>6</v>
      </c>
      <c r="D1643" s="3" t="n">
        <v>26</v>
      </c>
      <c r="E1643" s="3" t="inlineStr">
        <is>
          <t>S27-26</t>
        </is>
      </c>
    </row>
    <row r="1644">
      <c r="A1644" s="2" t="n">
        <v>46569</v>
      </c>
      <c r="B1644" s="3" t="n">
        <v>2027</v>
      </c>
      <c r="C1644" s="3" t="n">
        <v>7</v>
      </c>
      <c r="D1644" s="3" t="n">
        <v>26</v>
      </c>
      <c r="E1644" s="3" t="inlineStr">
        <is>
          <t>S27-26</t>
        </is>
      </c>
    </row>
    <row r="1645">
      <c r="A1645" s="2" t="n">
        <v>46570</v>
      </c>
      <c r="B1645" s="3" t="n">
        <v>2027</v>
      </c>
      <c r="C1645" s="3" t="n">
        <v>7</v>
      </c>
      <c r="D1645" s="3" t="n">
        <v>26</v>
      </c>
      <c r="E1645" s="3" t="inlineStr">
        <is>
          <t>S27-26</t>
        </is>
      </c>
    </row>
    <row r="1646">
      <c r="A1646" s="2" t="n">
        <v>46571</v>
      </c>
      <c r="B1646" s="3" t="n">
        <v>2027</v>
      </c>
      <c r="C1646" s="3" t="n">
        <v>7</v>
      </c>
      <c r="D1646" s="3" t="n">
        <v>26</v>
      </c>
      <c r="E1646" s="3" t="inlineStr">
        <is>
          <t>S27-26</t>
        </is>
      </c>
    </row>
    <row r="1647">
      <c r="A1647" s="2" t="n">
        <v>46572</v>
      </c>
      <c r="B1647" s="3" t="n">
        <v>2027</v>
      </c>
      <c r="C1647" s="3" t="n">
        <v>7</v>
      </c>
      <c r="D1647" s="3" t="n">
        <v>26</v>
      </c>
      <c r="E1647" s="3" t="inlineStr">
        <is>
          <t>S27-26</t>
        </is>
      </c>
    </row>
    <row r="1648">
      <c r="A1648" s="2" t="n">
        <v>46573</v>
      </c>
      <c r="B1648" s="3" t="n">
        <v>2027</v>
      </c>
      <c r="C1648" s="3" t="n">
        <v>7</v>
      </c>
      <c r="D1648" s="3" t="n">
        <v>27</v>
      </c>
      <c r="E1648" s="3" t="inlineStr">
        <is>
          <t>S27-27</t>
        </is>
      </c>
    </row>
    <row r="1649">
      <c r="A1649" s="2" t="n">
        <v>46574</v>
      </c>
      <c r="B1649" s="3" t="n">
        <v>2027</v>
      </c>
      <c r="C1649" s="3" t="n">
        <v>7</v>
      </c>
      <c r="D1649" s="3" t="n">
        <v>27</v>
      </c>
      <c r="E1649" s="3" t="inlineStr">
        <is>
          <t>S27-27</t>
        </is>
      </c>
    </row>
    <row r="1650">
      <c r="A1650" s="2" t="n">
        <v>46575</v>
      </c>
      <c r="B1650" s="3" t="n">
        <v>2027</v>
      </c>
      <c r="C1650" s="3" t="n">
        <v>7</v>
      </c>
      <c r="D1650" s="3" t="n">
        <v>27</v>
      </c>
      <c r="E1650" s="3" t="inlineStr">
        <is>
          <t>S27-27</t>
        </is>
      </c>
    </row>
    <row r="1651">
      <c r="A1651" s="2" t="n">
        <v>46576</v>
      </c>
      <c r="B1651" s="3" t="n">
        <v>2027</v>
      </c>
      <c r="C1651" s="3" t="n">
        <v>7</v>
      </c>
      <c r="D1651" s="3" t="n">
        <v>27</v>
      </c>
      <c r="E1651" s="3" t="inlineStr">
        <is>
          <t>S27-27</t>
        </is>
      </c>
    </row>
    <row r="1652">
      <c r="A1652" s="2" t="n">
        <v>46577</v>
      </c>
      <c r="B1652" s="3" t="n">
        <v>2027</v>
      </c>
      <c r="C1652" s="3" t="n">
        <v>7</v>
      </c>
      <c r="D1652" s="3" t="n">
        <v>27</v>
      </c>
      <c r="E1652" s="3" t="inlineStr">
        <is>
          <t>S27-27</t>
        </is>
      </c>
    </row>
    <row r="1653">
      <c r="A1653" s="2" t="n">
        <v>46578</v>
      </c>
      <c r="B1653" s="3" t="n">
        <v>2027</v>
      </c>
      <c r="C1653" s="3" t="n">
        <v>7</v>
      </c>
      <c r="D1653" s="3" t="n">
        <v>27</v>
      </c>
      <c r="E1653" s="3" t="inlineStr">
        <is>
          <t>S27-27</t>
        </is>
      </c>
    </row>
    <row r="1654">
      <c r="A1654" s="2" t="n">
        <v>46579</v>
      </c>
      <c r="B1654" s="3" t="n">
        <v>2027</v>
      </c>
      <c r="C1654" s="3" t="n">
        <v>7</v>
      </c>
      <c r="D1654" s="3" t="n">
        <v>27</v>
      </c>
      <c r="E1654" s="3" t="inlineStr">
        <is>
          <t>S27-27</t>
        </is>
      </c>
    </row>
    <row r="1655">
      <c r="A1655" s="2" t="n">
        <v>46580</v>
      </c>
      <c r="B1655" s="3" t="n">
        <v>2027</v>
      </c>
      <c r="C1655" s="3" t="n">
        <v>7</v>
      </c>
      <c r="D1655" s="3" t="n">
        <v>28</v>
      </c>
      <c r="E1655" s="3" t="inlineStr">
        <is>
          <t>S27-28</t>
        </is>
      </c>
    </row>
    <row r="1656">
      <c r="A1656" s="2" t="n">
        <v>46581</v>
      </c>
      <c r="B1656" s="3" t="n">
        <v>2027</v>
      </c>
      <c r="C1656" s="3" t="n">
        <v>7</v>
      </c>
      <c r="D1656" s="3" t="n">
        <v>28</v>
      </c>
      <c r="E1656" s="3" t="inlineStr">
        <is>
          <t>S27-28</t>
        </is>
      </c>
    </row>
    <row r="1657">
      <c r="A1657" s="2" t="n">
        <v>46582</v>
      </c>
      <c r="B1657" s="3" t="n">
        <v>2027</v>
      </c>
      <c r="C1657" s="3" t="n">
        <v>7</v>
      </c>
      <c r="D1657" s="3" t="n">
        <v>28</v>
      </c>
      <c r="E1657" s="3" t="inlineStr">
        <is>
          <t>S27-28</t>
        </is>
      </c>
    </row>
    <row r="1658">
      <c r="A1658" s="2" t="n">
        <v>46583</v>
      </c>
      <c r="B1658" s="3" t="n">
        <v>2027</v>
      </c>
      <c r="C1658" s="3" t="n">
        <v>7</v>
      </c>
      <c r="D1658" s="3" t="n">
        <v>28</v>
      </c>
      <c r="E1658" s="3" t="inlineStr">
        <is>
          <t>S27-28</t>
        </is>
      </c>
    </row>
    <row r="1659">
      <c r="A1659" s="2" t="n">
        <v>46584</v>
      </c>
      <c r="B1659" s="3" t="n">
        <v>2027</v>
      </c>
      <c r="C1659" s="3" t="n">
        <v>7</v>
      </c>
      <c r="D1659" s="3" t="n">
        <v>28</v>
      </c>
      <c r="E1659" s="3" t="inlineStr">
        <is>
          <t>S27-28</t>
        </is>
      </c>
    </row>
    <row r="1660">
      <c r="A1660" s="2" t="n">
        <v>46585</v>
      </c>
      <c r="B1660" s="3" t="n">
        <v>2027</v>
      </c>
      <c r="C1660" s="3" t="n">
        <v>7</v>
      </c>
      <c r="D1660" s="3" t="n">
        <v>28</v>
      </c>
      <c r="E1660" s="3" t="inlineStr">
        <is>
          <t>S27-28</t>
        </is>
      </c>
    </row>
    <row r="1661">
      <c r="A1661" s="2" t="n">
        <v>46586</v>
      </c>
      <c r="B1661" s="3" t="n">
        <v>2027</v>
      </c>
      <c r="C1661" s="3" t="n">
        <v>7</v>
      </c>
      <c r="D1661" s="3" t="n">
        <v>28</v>
      </c>
      <c r="E1661" s="3" t="inlineStr">
        <is>
          <t>S27-28</t>
        </is>
      </c>
    </row>
    <row r="1662">
      <c r="A1662" s="2" t="n">
        <v>46587</v>
      </c>
      <c r="B1662" s="3" t="n">
        <v>2027</v>
      </c>
      <c r="C1662" s="3" t="n">
        <v>7</v>
      </c>
      <c r="D1662" s="3" t="n">
        <v>29</v>
      </c>
      <c r="E1662" s="3" t="inlineStr">
        <is>
          <t>S27-29</t>
        </is>
      </c>
    </row>
    <row r="1663">
      <c r="A1663" s="2" t="n">
        <v>46588</v>
      </c>
      <c r="B1663" s="3" t="n">
        <v>2027</v>
      </c>
      <c r="C1663" s="3" t="n">
        <v>7</v>
      </c>
      <c r="D1663" s="3" t="n">
        <v>29</v>
      </c>
      <c r="E1663" s="3" t="inlineStr">
        <is>
          <t>S27-29</t>
        </is>
      </c>
    </row>
    <row r="1664">
      <c r="A1664" s="2" t="n">
        <v>46589</v>
      </c>
      <c r="B1664" s="3" t="n">
        <v>2027</v>
      </c>
      <c r="C1664" s="3" t="n">
        <v>7</v>
      </c>
      <c r="D1664" s="3" t="n">
        <v>29</v>
      </c>
      <c r="E1664" s="3" t="inlineStr">
        <is>
          <t>S27-29</t>
        </is>
      </c>
    </row>
    <row r="1665">
      <c r="A1665" s="2" t="n">
        <v>46590</v>
      </c>
      <c r="B1665" s="3" t="n">
        <v>2027</v>
      </c>
      <c r="C1665" s="3" t="n">
        <v>7</v>
      </c>
      <c r="D1665" s="3" t="n">
        <v>29</v>
      </c>
      <c r="E1665" s="3" t="inlineStr">
        <is>
          <t>S27-29</t>
        </is>
      </c>
    </row>
    <row r="1666">
      <c r="A1666" s="2" t="n">
        <v>46591</v>
      </c>
      <c r="B1666" s="3" t="n">
        <v>2027</v>
      </c>
      <c r="C1666" s="3" t="n">
        <v>7</v>
      </c>
      <c r="D1666" s="3" t="n">
        <v>29</v>
      </c>
      <c r="E1666" s="3" t="inlineStr">
        <is>
          <t>S27-29</t>
        </is>
      </c>
    </row>
    <row r="1667">
      <c r="A1667" s="2" t="n">
        <v>46592</v>
      </c>
      <c r="B1667" s="3" t="n">
        <v>2027</v>
      </c>
      <c r="C1667" s="3" t="n">
        <v>7</v>
      </c>
      <c r="D1667" s="3" t="n">
        <v>29</v>
      </c>
      <c r="E1667" s="3" t="inlineStr">
        <is>
          <t>S27-29</t>
        </is>
      </c>
    </row>
    <row r="1668">
      <c r="A1668" s="2" t="n">
        <v>46593</v>
      </c>
      <c r="B1668" s="3" t="n">
        <v>2027</v>
      </c>
      <c r="C1668" s="3" t="n">
        <v>7</v>
      </c>
      <c r="D1668" s="3" t="n">
        <v>29</v>
      </c>
      <c r="E1668" s="3" t="inlineStr">
        <is>
          <t>S27-29</t>
        </is>
      </c>
    </row>
    <row r="1669">
      <c r="A1669" s="2" t="n">
        <v>46594</v>
      </c>
      <c r="B1669" s="3" t="n">
        <v>2027</v>
      </c>
      <c r="C1669" s="3" t="n">
        <v>7</v>
      </c>
      <c r="D1669" s="3" t="n">
        <v>30</v>
      </c>
      <c r="E1669" s="3" t="inlineStr">
        <is>
          <t>S27-30</t>
        </is>
      </c>
    </row>
    <row r="1670">
      <c r="A1670" s="2" t="n">
        <v>46595</v>
      </c>
      <c r="B1670" s="3" t="n">
        <v>2027</v>
      </c>
      <c r="C1670" s="3" t="n">
        <v>7</v>
      </c>
      <c r="D1670" s="3" t="n">
        <v>30</v>
      </c>
      <c r="E1670" s="3" t="inlineStr">
        <is>
          <t>S27-30</t>
        </is>
      </c>
    </row>
    <row r="1671">
      <c r="A1671" s="2" t="n">
        <v>46596</v>
      </c>
      <c r="B1671" s="3" t="n">
        <v>2027</v>
      </c>
      <c r="C1671" s="3" t="n">
        <v>7</v>
      </c>
      <c r="D1671" s="3" t="n">
        <v>30</v>
      </c>
      <c r="E1671" s="3" t="inlineStr">
        <is>
          <t>S27-30</t>
        </is>
      </c>
    </row>
    <row r="1672">
      <c r="A1672" s="2" t="n">
        <v>46597</v>
      </c>
      <c r="B1672" s="3" t="n">
        <v>2027</v>
      </c>
      <c r="C1672" s="3" t="n">
        <v>7</v>
      </c>
      <c r="D1672" s="3" t="n">
        <v>30</v>
      </c>
      <c r="E1672" s="3" t="inlineStr">
        <is>
          <t>S27-30</t>
        </is>
      </c>
    </row>
    <row r="1673">
      <c r="A1673" s="2" t="n">
        <v>46598</v>
      </c>
      <c r="B1673" s="3" t="n">
        <v>2027</v>
      </c>
      <c r="C1673" s="3" t="n">
        <v>7</v>
      </c>
      <c r="D1673" s="3" t="n">
        <v>30</v>
      </c>
      <c r="E1673" s="3" t="inlineStr">
        <is>
          <t>S27-30</t>
        </is>
      </c>
    </row>
    <row r="1674">
      <c r="A1674" s="2" t="n">
        <v>46599</v>
      </c>
      <c r="B1674" s="3" t="n">
        <v>2027</v>
      </c>
      <c r="C1674" s="3" t="n">
        <v>7</v>
      </c>
      <c r="D1674" s="3" t="n">
        <v>30</v>
      </c>
      <c r="E1674" s="3" t="inlineStr">
        <is>
          <t>S27-30</t>
        </is>
      </c>
    </row>
    <row r="1675">
      <c r="A1675" s="2" t="n">
        <v>46600</v>
      </c>
      <c r="B1675" s="3" t="n">
        <v>2027</v>
      </c>
      <c r="C1675" s="3" t="n">
        <v>8</v>
      </c>
      <c r="D1675" s="3" t="n">
        <v>30</v>
      </c>
      <c r="E1675" s="3" t="inlineStr">
        <is>
          <t>S27-30</t>
        </is>
      </c>
    </row>
    <row r="1676">
      <c r="A1676" s="2" t="n">
        <v>46601</v>
      </c>
      <c r="B1676" s="3" t="n">
        <v>2027</v>
      </c>
      <c r="C1676" s="3" t="n">
        <v>8</v>
      </c>
      <c r="D1676" s="3" t="n">
        <v>31</v>
      </c>
      <c r="E1676" s="3" t="inlineStr">
        <is>
          <t>S27-31</t>
        </is>
      </c>
    </row>
    <row r="1677">
      <c r="A1677" s="2" t="n">
        <v>46602</v>
      </c>
      <c r="B1677" s="3" t="n">
        <v>2027</v>
      </c>
      <c r="C1677" s="3" t="n">
        <v>8</v>
      </c>
      <c r="D1677" s="3" t="n">
        <v>31</v>
      </c>
      <c r="E1677" s="3" t="inlineStr">
        <is>
          <t>S27-31</t>
        </is>
      </c>
    </row>
    <row r="1678">
      <c r="A1678" s="2" t="n">
        <v>46603</v>
      </c>
      <c r="B1678" s="3" t="n">
        <v>2027</v>
      </c>
      <c r="C1678" s="3" t="n">
        <v>8</v>
      </c>
      <c r="D1678" s="3" t="n">
        <v>31</v>
      </c>
      <c r="E1678" s="3" t="inlineStr">
        <is>
          <t>S27-31</t>
        </is>
      </c>
    </row>
    <row r="1679">
      <c r="A1679" s="2" t="n">
        <v>46604</v>
      </c>
      <c r="B1679" s="3" t="n">
        <v>2027</v>
      </c>
      <c r="C1679" s="3" t="n">
        <v>8</v>
      </c>
      <c r="D1679" s="3" t="n">
        <v>31</v>
      </c>
      <c r="E1679" s="3" t="inlineStr">
        <is>
          <t>S27-31</t>
        </is>
      </c>
    </row>
    <row r="1680">
      <c r="A1680" s="2" t="n">
        <v>46605</v>
      </c>
      <c r="B1680" s="3" t="n">
        <v>2027</v>
      </c>
      <c r="C1680" s="3" t="n">
        <v>8</v>
      </c>
      <c r="D1680" s="3" t="n">
        <v>31</v>
      </c>
      <c r="E1680" s="3" t="inlineStr">
        <is>
          <t>S27-31</t>
        </is>
      </c>
    </row>
    <row r="1681">
      <c r="A1681" s="2" t="n">
        <v>46606</v>
      </c>
      <c r="B1681" s="3" t="n">
        <v>2027</v>
      </c>
      <c r="C1681" s="3" t="n">
        <v>8</v>
      </c>
      <c r="D1681" s="3" t="n">
        <v>31</v>
      </c>
      <c r="E1681" s="3" t="inlineStr">
        <is>
          <t>S27-31</t>
        </is>
      </c>
    </row>
    <row r="1682">
      <c r="A1682" s="2" t="n">
        <v>46607</v>
      </c>
      <c r="B1682" s="3" t="n">
        <v>2027</v>
      </c>
      <c r="C1682" s="3" t="n">
        <v>8</v>
      </c>
      <c r="D1682" s="3" t="n">
        <v>31</v>
      </c>
      <c r="E1682" s="3" t="inlineStr">
        <is>
          <t>S27-31</t>
        </is>
      </c>
    </row>
    <row r="1683">
      <c r="A1683" s="2" t="n">
        <v>46608</v>
      </c>
      <c r="B1683" s="3" t="n">
        <v>2027</v>
      </c>
      <c r="C1683" s="3" t="n">
        <v>8</v>
      </c>
      <c r="D1683" s="3" t="n">
        <v>32</v>
      </c>
      <c r="E1683" s="3" t="inlineStr">
        <is>
          <t>S27-32</t>
        </is>
      </c>
    </row>
    <row r="1684">
      <c r="A1684" s="2" t="n">
        <v>46609</v>
      </c>
      <c r="B1684" s="3" t="n">
        <v>2027</v>
      </c>
      <c r="C1684" s="3" t="n">
        <v>8</v>
      </c>
      <c r="D1684" s="3" t="n">
        <v>32</v>
      </c>
      <c r="E1684" s="3" t="inlineStr">
        <is>
          <t>S27-32</t>
        </is>
      </c>
    </row>
    <row r="1685">
      <c r="A1685" s="2" t="n">
        <v>46610</v>
      </c>
      <c r="B1685" s="3" t="n">
        <v>2027</v>
      </c>
      <c r="C1685" s="3" t="n">
        <v>8</v>
      </c>
      <c r="D1685" s="3" t="n">
        <v>32</v>
      </c>
      <c r="E1685" s="3" t="inlineStr">
        <is>
          <t>S27-32</t>
        </is>
      </c>
    </row>
    <row r="1686">
      <c r="A1686" s="2" t="n">
        <v>46611</v>
      </c>
      <c r="B1686" s="3" t="n">
        <v>2027</v>
      </c>
      <c r="C1686" s="3" t="n">
        <v>8</v>
      </c>
      <c r="D1686" s="3" t="n">
        <v>32</v>
      </c>
      <c r="E1686" s="3" t="inlineStr">
        <is>
          <t>S27-32</t>
        </is>
      </c>
    </row>
    <row r="1687">
      <c r="A1687" s="2" t="n">
        <v>46612</v>
      </c>
      <c r="B1687" s="3" t="n">
        <v>2027</v>
      </c>
      <c r="C1687" s="3" t="n">
        <v>8</v>
      </c>
      <c r="D1687" s="3" t="n">
        <v>32</v>
      </c>
      <c r="E1687" s="3" t="inlineStr">
        <is>
          <t>S27-32</t>
        </is>
      </c>
    </row>
    <row r="1688">
      <c r="A1688" s="2" t="n">
        <v>46613</v>
      </c>
      <c r="B1688" s="3" t="n">
        <v>2027</v>
      </c>
      <c r="C1688" s="3" t="n">
        <v>8</v>
      </c>
      <c r="D1688" s="3" t="n">
        <v>32</v>
      </c>
      <c r="E1688" s="3" t="inlineStr">
        <is>
          <t>S27-32</t>
        </is>
      </c>
    </row>
    <row r="1689">
      <c r="A1689" s="2" t="n">
        <v>46614</v>
      </c>
      <c r="B1689" s="3" t="n">
        <v>2027</v>
      </c>
      <c r="C1689" s="3" t="n">
        <v>8</v>
      </c>
      <c r="D1689" s="3" t="n">
        <v>32</v>
      </c>
      <c r="E1689" s="3" t="inlineStr">
        <is>
          <t>S27-32</t>
        </is>
      </c>
    </row>
    <row r="1690">
      <c r="A1690" s="2" t="n">
        <v>46615</v>
      </c>
      <c r="B1690" s="3" t="n">
        <v>2027</v>
      </c>
      <c r="C1690" s="3" t="n">
        <v>8</v>
      </c>
      <c r="D1690" s="3" t="n">
        <v>33</v>
      </c>
      <c r="E1690" s="3" t="inlineStr">
        <is>
          <t>S27-33</t>
        </is>
      </c>
    </row>
    <row r="1691">
      <c r="A1691" s="2" t="n">
        <v>46616</v>
      </c>
      <c r="B1691" s="3" t="n">
        <v>2027</v>
      </c>
      <c r="C1691" s="3" t="n">
        <v>8</v>
      </c>
      <c r="D1691" s="3" t="n">
        <v>33</v>
      </c>
      <c r="E1691" s="3" t="inlineStr">
        <is>
          <t>S27-33</t>
        </is>
      </c>
    </row>
    <row r="1692">
      <c r="A1692" s="2" t="n">
        <v>46617</v>
      </c>
      <c r="B1692" s="3" t="n">
        <v>2027</v>
      </c>
      <c r="C1692" s="3" t="n">
        <v>8</v>
      </c>
      <c r="D1692" s="3" t="n">
        <v>33</v>
      </c>
      <c r="E1692" s="3" t="inlineStr">
        <is>
          <t>S27-33</t>
        </is>
      </c>
    </row>
    <row r="1693">
      <c r="A1693" s="2" t="n">
        <v>46618</v>
      </c>
      <c r="B1693" s="3" t="n">
        <v>2027</v>
      </c>
      <c r="C1693" s="3" t="n">
        <v>8</v>
      </c>
      <c r="D1693" s="3" t="n">
        <v>33</v>
      </c>
      <c r="E1693" s="3" t="inlineStr">
        <is>
          <t>S27-33</t>
        </is>
      </c>
    </row>
    <row r="1694">
      <c r="A1694" s="2" t="n">
        <v>46619</v>
      </c>
      <c r="B1694" s="3" t="n">
        <v>2027</v>
      </c>
      <c r="C1694" s="3" t="n">
        <v>8</v>
      </c>
      <c r="D1694" s="3" t="n">
        <v>33</v>
      </c>
      <c r="E1694" s="3" t="inlineStr">
        <is>
          <t>S27-33</t>
        </is>
      </c>
    </row>
    <row r="1695">
      <c r="A1695" s="2" t="n">
        <v>46620</v>
      </c>
      <c r="B1695" s="3" t="n">
        <v>2027</v>
      </c>
      <c r="C1695" s="3" t="n">
        <v>8</v>
      </c>
      <c r="D1695" s="3" t="n">
        <v>33</v>
      </c>
      <c r="E1695" s="3" t="inlineStr">
        <is>
          <t>S27-33</t>
        </is>
      </c>
    </row>
    <row r="1696">
      <c r="A1696" s="2" t="n">
        <v>46621</v>
      </c>
      <c r="B1696" s="3" t="n">
        <v>2027</v>
      </c>
      <c r="C1696" s="3" t="n">
        <v>8</v>
      </c>
      <c r="D1696" s="3" t="n">
        <v>33</v>
      </c>
      <c r="E1696" s="3" t="inlineStr">
        <is>
          <t>S27-33</t>
        </is>
      </c>
    </row>
    <row r="1697">
      <c r="A1697" s="2" t="n">
        <v>46622</v>
      </c>
      <c r="B1697" s="3" t="n">
        <v>2027</v>
      </c>
      <c r="C1697" s="3" t="n">
        <v>8</v>
      </c>
      <c r="D1697" s="3" t="n">
        <v>34</v>
      </c>
      <c r="E1697" s="3" t="inlineStr">
        <is>
          <t>S27-34</t>
        </is>
      </c>
    </row>
    <row r="1698">
      <c r="A1698" s="2" t="n">
        <v>46623</v>
      </c>
      <c r="B1698" s="3" t="n">
        <v>2027</v>
      </c>
      <c r="C1698" s="3" t="n">
        <v>8</v>
      </c>
      <c r="D1698" s="3" t="n">
        <v>34</v>
      </c>
      <c r="E1698" s="3" t="inlineStr">
        <is>
          <t>S27-34</t>
        </is>
      </c>
    </row>
    <row r="1699">
      <c r="A1699" s="2" t="n">
        <v>46624</v>
      </c>
      <c r="B1699" s="3" t="n">
        <v>2027</v>
      </c>
      <c r="C1699" s="3" t="n">
        <v>8</v>
      </c>
      <c r="D1699" s="3" t="n">
        <v>34</v>
      </c>
      <c r="E1699" s="3" t="inlineStr">
        <is>
          <t>S27-34</t>
        </is>
      </c>
    </row>
    <row r="1700">
      <c r="A1700" s="2" t="n">
        <v>46625</v>
      </c>
      <c r="B1700" s="3" t="n">
        <v>2027</v>
      </c>
      <c r="C1700" s="3" t="n">
        <v>8</v>
      </c>
      <c r="D1700" s="3" t="n">
        <v>34</v>
      </c>
      <c r="E1700" s="3" t="inlineStr">
        <is>
          <t>S27-34</t>
        </is>
      </c>
    </row>
    <row r="1701">
      <c r="A1701" s="2" t="n">
        <v>46626</v>
      </c>
      <c r="B1701" s="3" t="n">
        <v>2027</v>
      </c>
      <c r="C1701" s="3" t="n">
        <v>8</v>
      </c>
      <c r="D1701" s="3" t="n">
        <v>34</v>
      </c>
      <c r="E1701" s="3" t="inlineStr">
        <is>
          <t>S27-34</t>
        </is>
      </c>
    </row>
    <row r="1702">
      <c r="A1702" s="2" t="n">
        <v>46627</v>
      </c>
      <c r="B1702" s="3" t="n">
        <v>2027</v>
      </c>
      <c r="C1702" s="3" t="n">
        <v>8</v>
      </c>
      <c r="D1702" s="3" t="n">
        <v>34</v>
      </c>
      <c r="E1702" s="3" t="inlineStr">
        <is>
          <t>S27-34</t>
        </is>
      </c>
    </row>
    <row r="1703">
      <c r="A1703" s="2" t="n">
        <v>46628</v>
      </c>
      <c r="B1703" s="3" t="n">
        <v>2027</v>
      </c>
      <c r="C1703" s="3" t="n">
        <v>8</v>
      </c>
      <c r="D1703" s="3" t="n">
        <v>34</v>
      </c>
      <c r="E1703" s="3" t="inlineStr">
        <is>
          <t>S27-34</t>
        </is>
      </c>
    </row>
    <row r="1704">
      <c r="A1704" s="2" t="n">
        <v>46629</v>
      </c>
      <c r="B1704" s="3" t="n">
        <v>2027</v>
      </c>
      <c r="C1704" s="3" t="n">
        <v>8</v>
      </c>
      <c r="D1704" s="3" t="n">
        <v>35</v>
      </c>
      <c r="E1704" s="3" t="inlineStr">
        <is>
          <t>S27-35</t>
        </is>
      </c>
    </row>
    <row r="1705">
      <c r="A1705" s="2" t="n">
        <v>46630</v>
      </c>
      <c r="B1705" s="3" t="n">
        <v>2027</v>
      </c>
      <c r="C1705" s="3" t="n">
        <v>8</v>
      </c>
      <c r="D1705" s="3" t="n">
        <v>35</v>
      </c>
      <c r="E1705" s="3" t="inlineStr">
        <is>
          <t>S27-35</t>
        </is>
      </c>
    </row>
    <row r="1706">
      <c r="A1706" s="2" t="n">
        <v>46631</v>
      </c>
      <c r="B1706" s="3" t="n">
        <v>2027</v>
      </c>
      <c r="C1706" s="3" t="n">
        <v>9</v>
      </c>
      <c r="D1706" s="3" t="n">
        <v>35</v>
      </c>
      <c r="E1706" s="3" t="inlineStr">
        <is>
          <t>S27-35</t>
        </is>
      </c>
    </row>
    <row r="1707">
      <c r="A1707" s="2" t="n">
        <v>46632</v>
      </c>
      <c r="B1707" s="3" t="n">
        <v>2027</v>
      </c>
      <c r="C1707" s="3" t="n">
        <v>9</v>
      </c>
      <c r="D1707" s="3" t="n">
        <v>35</v>
      </c>
      <c r="E1707" s="3" t="inlineStr">
        <is>
          <t>S27-35</t>
        </is>
      </c>
    </row>
    <row r="1708">
      <c r="A1708" s="2" t="n">
        <v>46633</v>
      </c>
      <c r="B1708" s="3" t="n">
        <v>2027</v>
      </c>
      <c r="C1708" s="3" t="n">
        <v>9</v>
      </c>
      <c r="D1708" s="3" t="n">
        <v>35</v>
      </c>
      <c r="E1708" s="3" t="inlineStr">
        <is>
          <t>S27-35</t>
        </is>
      </c>
    </row>
    <row r="1709">
      <c r="A1709" s="2" t="n">
        <v>46634</v>
      </c>
      <c r="B1709" s="3" t="n">
        <v>2027</v>
      </c>
      <c r="C1709" s="3" t="n">
        <v>9</v>
      </c>
      <c r="D1709" s="3" t="n">
        <v>35</v>
      </c>
      <c r="E1709" s="3" t="inlineStr">
        <is>
          <t>S27-35</t>
        </is>
      </c>
    </row>
    <row r="1710">
      <c r="A1710" s="2" t="n">
        <v>46635</v>
      </c>
      <c r="B1710" s="3" t="n">
        <v>2027</v>
      </c>
      <c r="C1710" s="3" t="n">
        <v>9</v>
      </c>
      <c r="D1710" s="3" t="n">
        <v>35</v>
      </c>
      <c r="E1710" s="3" t="inlineStr">
        <is>
          <t>S27-35</t>
        </is>
      </c>
    </row>
    <row r="1711">
      <c r="A1711" s="2" t="n">
        <v>46636</v>
      </c>
      <c r="B1711" s="3" t="n">
        <v>2027</v>
      </c>
      <c r="C1711" s="3" t="n">
        <v>9</v>
      </c>
      <c r="D1711" s="3" t="n">
        <v>36</v>
      </c>
      <c r="E1711" s="3" t="inlineStr">
        <is>
          <t>S27-36</t>
        </is>
      </c>
    </row>
    <row r="1712">
      <c r="A1712" s="2" t="n">
        <v>46637</v>
      </c>
      <c r="B1712" s="3" t="n">
        <v>2027</v>
      </c>
      <c r="C1712" s="3" t="n">
        <v>9</v>
      </c>
      <c r="D1712" s="3" t="n">
        <v>36</v>
      </c>
      <c r="E1712" s="3" t="inlineStr">
        <is>
          <t>S27-36</t>
        </is>
      </c>
    </row>
    <row r="1713">
      <c r="A1713" s="2" t="n">
        <v>46638</v>
      </c>
      <c r="B1713" s="3" t="n">
        <v>2027</v>
      </c>
      <c r="C1713" s="3" t="n">
        <v>9</v>
      </c>
      <c r="D1713" s="3" t="n">
        <v>36</v>
      </c>
      <c r="E1713" s="3" t="inlineStr">
        <is>
          <t>S27-36</t>
        </is>
      </c>
    </row>
    <row r="1714">
      <c r="A1714" s="2" t="n">
        <v>46639</v>
      </c>
      <c r="B1714" s="3" t="n">
        <v>2027</v>
      </c>
      <c r="C1714" s="3" t="n">
        <v>9</v>
      </c>
      <c r="D1714" s="3" t="n">
        <v>36</v>
      </c>
      <c r="E1714" s="3" t="inlineStr">
        <is>
          <t>S27-36</t>
        </is>
      </c>
    </row>
    <row r="1715">
      <c r="A1715" s="2" t="n">
        <v>46640</v>
      </c>
      <c r="B1715" s="3" t="n">
        <v>2027</v>
      </c>
      <c r="C1715" s="3" t="n">
        <v>9</v>
      </c>
      <c r="D1715" s="3" t="n">
        <v>36</v>
      </c>
      <c r="E1715" s="3" t="inlineStr">
        <is>
          <t>S27-36</t>
        </is>
      </c>
    </row>
    <row r="1716">
      <c r="A1716" s="2" t="n">
        <v>46641</v>
      </c>
      <c r="B1716" s="3" t="n">
        <v>2027</v>
      </c>
      <c r="C1716" s="3" t="n">
        <v>9</v>
      </c>
      <c r="D1716" s="3" t="n">
        <v>36</v>
      </c>
      <c r="E1716" s="3" t="inlineStr">
        <is>
          <t>S27-36</t>
        </is>
      </c>
    </row>
    <row r="1717">
      <c r="A1717" s="2" t="n">
        <v>46642</v>
      </c>
      <c r="B1717" s="3" t="n">
        <v>2027</v>
      </c>
      <c r="C1717" s="3" t="n">
        <v>9</v>
      </c>
      <c r="D1717" s="3" t="n">
        <v>36</v>
      </c>
      <c r="E1717" s="3" t="inlineStr">
        <is>
          <t>S27-36</t>
        </is>
      </c>
    </row>
    <row r="1718">
      <c r="A1718" s="2" t="n">
        <v>46643</v>
      </c>
      <c r="B1718" s="3" t="n">
        <v>2027</v>
      </c>
      <c r="C1718" s="3" t="n">
        <v>9</v>
      </c>
      <c r="D1718" s="3" t="n">
        <v>37</v>
      </c>
      <c r="E1718" s="3" t="inlineStr">
        <is>
          <t>S27-37</t>
        </is>
      </c>
    </row>
    <row r="1719">
      <c r="A1719" s="2" t="n">
        <v>46644</v>
      </c>
      <c r="B1719" s="3" t="n">
        <v>2027</v>
      </c>
      <c r="C1719" s="3" t="n">
        <v>9</v>
      </c>
      <c r="D1719" s="3" t="n">
        <v>37</v>
      </c>
      <c r="E1719" s="3" t="inlineStr">
        <is>
          <t>S27-37</t>
        </is>
      </c>
    </row>
    <row r="1720">
      <c r="A1720" s="2" t="n">
        <v>46645</v>
      </c>
      <c r="B1720" s="3" t="n">
        <v>2027</v>
      </c>
      <c r="C1720" s="3" t="n">
        <v>9</v>
      </c>
      <c r="D1720" s="3" t="n">
        <v>37</v>
      </c>
      <c r="E1720" s="3" t="inlineStr">
        <is>
          <t>S27-37</t>
        </is>
      </c>
    </row>
    <row r="1721">
      <c r="A1721" s="2" t="n">
        <v>46646</v>
      </c>
      <c r="B1721" s="3" t="n">
        <v>2027</v>
      </c>
      <c r="C1721" s="3" t="n">
        <v>9</v>
      </c>
      <c r="D1721" s="3" t="n">
        <v>37</v>
      </c>
      <c r="E1721" s="3" t="inlineStr">
        <is>
          <t>S27-37</t>
        </is>
      </c>
    </row>
    <row r="1722">
      <c r="A1722" s="2" t="n">
        <v>46647</v>
      </c>
      <c r="B1722" s="3" t="n">
        <v>2027</v>
      </c>
      <c r="C1722" s="3" t="n">
        <v>9</v>
      </c>
      <c r="D1722" s="3" t="n">
        <v>37</v>
      </c>
      <c r="E1722" s="3" t="inlineStr">
        <is>
          <t>S27-37</t>
        </is>
      </c>
    </row>
    <row r="1723">
      <c r="A1723" s="2" t="n">
        <v>46648</v>
      </c>
      <c r="B1723" s="3" t="n">
        <v>2027</v>
      </c>
      <c r="C1723" s="3" t="n">
        <v>9</v>
      </c>
      <c r="D1723" s="3" t="n">
        <v>37</v>
      </c>
      <c r="E1723" s="3" t="inlineStr">
        <is>
          <t>S27-37</t>
        </is>
      </c>
    </row>
    <row r="1724">
      <c r="A1724" s="2" t="n">
        <v>46649</v>
      </c>
      <c r="B1724" s="3" t="n">
        <v>2027</v>
      </c>
      <c r="C1724" s="3" t="n">
        <v>9</v>
      </c>
      <c r="D1724" s="3" t="n">
        <v>37</v>
      </c>
      <c r="E1724" s="3" t="inlineStr">
        <is>
          <t>S27-37</t>
        </is>
      </c>
    </row>
    <row r="1725">
      <c r="A1725" s="2" t="n">
        <v>46650</v>
      </c>
      <c r="B1725" s="3" t="n">
        <v>2027</v>
      </c>
      <c r="C1725" s="3" t="n">
        <v>9</v>
      </c>
      <c r="D1725" s="3" t="n">
        <v>38</v>
      </c>
      <c r="E1725" s="3" t="inlineStr">
        <is>
          <t>S27-38</t>
        </is>
      </c>
    </row>
    <row r="1726">
      <c r="A1726" s="2" t="n">
        <v>46651</v>
      </c>
      <c r="B1726" s="3" t="n">
        <v>2027</v>
      </c>
      <c r="C1726" s="3" t="n">
        <v>9</v>
      </c>
      <c r="D1726" s="3" t="n">
        <v>38</v>
      </c>
      <c r="E1726" s="3" t="inlineStr">
        <is>
          <t>S27-38</t>
        </is>
      </c>
    </row>
    <row r="1727">
      <c r="A1727" s="2" t="n">
        <v>46652</v>
      </c>
      <c r="B1727" s="3" t="n">
        <v>2027</v>
      </c>
      <c r="C1727" s="3" t="n">
        <v>9</v>
      </c>
      <c r="D1727" s="3" t="n">
        <v>38</v>
      </c>
      <c r="E1727" s="3" t="inlineStr">
        <is>
          <t>S27-38</t>
        </is>
      </c>
    </row>
    <row r="1728">
      <c r="A1728" s="2" t="n">
        <v>46653</v>
      </c>
      <c r="B1728" s="3" t="n">
        <v>2027</v>
      </c>
      <c r="C1728" s="3" t="n">
        <v>9</v>
      </c>
      <c r="D1728" s="3" t="n">
        <v>38</v>
      </c>
      <c r="E1728" s="3" t="inlineStr">
        <is>
          <t>S27-38</t>
        </is>
      </c>
    </row>
    <row r="1729">
      <c r="A1729" s="2" t="n">
        <v>46654</v>
      </c>
      <c r="B1729" s="3" t="n">
        <v>2027</v>
      </c>
      <c r="C1729" s="3" t="n">
        <v>9</v>
      </c>
      <c r="D1729" s="3" t="n">
        <v>38</v>
      </c>
      <c r="E1729" s="3" t="inlineStr">
        <is>
          <t>S27-38</t>
        </is>
      </c>
    </row>
    <row r="1730">
      <c r="A1730" s="2" t="n">
        <v>46655</v>
      </c>
      <c r="B1730" s="3" t="n">
        <v>2027</v>
      </c>
      <c r="C1730" s="3" t="n">
        <v>9</v>
      </c>
      <c r="D1730" s="3" t="n">
        <v>38</v>
      </c>
      <c r="E1730" s="3" t="inlineStr">
        <is>
          <t>S27-38</t>
        </is>
      </c>
    </row>
    <row r="1731">
      <c r="A1731" s="2" t="n">
        <v>46656</v>
      </c>
      <c r="B1731" s="3" t="n">
        <v>2027</v>
      </c>
      <c r="C1731" s="3" t="n">
        <v>9</v>
      </c>
      <c r="D1731" s="3" t="n">
        <v>38</v>
      </c>
      <c r="E1731" s="3" t="inlineStr">
        <is>
          <t>S27-38</t>
        </is>
      </c>
    </row>
    <row r="1732">
      <c r="A1732" s="2" t="n">
        <v>46657</v>
      </c>
      <c r="B1732" s="3" t="n">
        <v>2027</v>
      </c>
      <c r="C1732" s="3" t="n">
        <v>9</v>
      </c>
      <c r="D1732" s="3" t="n">
        <v>39</v>
      </c>
      <c r="E1732" s="3" t="inlineStr">
        <is>
          <t>S27-39</t>
        </is>
      </c>
    </row>
    <row r="1733">
      <c r="A1733" s="2" t="n">
        <v>46658</v>
      </c>
      <c r="B1733" s="3" t="n">
        <v>2027</v>
      </c>
      <c r="C1733" s="3" t="n">
        <v>9</v>
      </c>
      <c r="D1733" s="3" t="n">
        <v>39</v>
      </c>
      <c r="E1733" s="3" t="inlineStr">
        <is>
          <t>S27-39</t>
        </is>
      </c>
    </row>
    <row r="1734">
      <c r="A1734" s="2" t="n">
        <v>46659</v>
      </c>
      <c r="B1734" s="3" t="n">
        <v>2027</v>
      </c>
      <c r="C1734" s="3" t="n">
        <v>9</v>
      </c>
      <c r="D1734" s="3" t="n">
        <v>39</v>
      </c>
      <c r="E1734" s="3" t="inlineStr">
        <is>
          <t>S27-39</t>
        </is>
      </c>
    </row>
    <row r="1735">
      <c r="A1735" s="2" t="n">
        <v>46660</v>
      </c>
      <c r="B1735" s="3" t="n">
        <v>2027</v>
      </c>
      <c r="C1735" s="3" t="n">
        <v>9</v>
      </c>
      <c r="D1735" s="3" t="n">
        <v>39</v>
      </c>
      <c r="E1735" s="3" t="inlineStr">
        <is>
          <t>S27-39</t>
        </is>
      </c>
    </row>
    <row r="1736">
      <c r="A1736" s="2" t="n">
        <v>46661</v>
      </c>
      <c r="B1736" s="3" t="n">
        <v>2027</v>
      </c>
      <c r="C1736" s="3" t="n">
        <v>10</v>
      </c>
      <c r="D1736" s="3" t="n">
        <v>39</v>
      </c>
      <c r="E1736" s="3" t="inlineStr">
        <is>
          <t>S27-39</t>
        </is>
      </c>
    </row>
    <row r="1737">
      <c r="A1737" s="2" t="n">
        <v>46662</v>
      </c>
      <c r="B1737" s="3" t="n">
        <v>2027</v>
      </c>
      <c r="C1737" s="3" t="n">
        <v>10</v>
      </c>
      <c r="D1737" s="3" t="n">
        <v>39</v>
      </c>
      <c r="E1737" s="3" t="inlineStr">
        <is>
          <t>S27-39</t>
        </is>
      </c>
    </row>
    <row r="1738">
      <c r="A1738" s="2" t="n">
        <v>46663</v>
      </c>
      <c r="B1738" s="3" t="n">
        <v>2027</v>
      </c>
      <c r="C1738" s="3" t="n">
        <v>10</v>
      </c>
      <c r="D1738" s="3" t="n">
        <v>39</v>
      </c>
      <c r="E1738" s="3" t="inlineStr">
        <is>
          <t>S27-39</t>
        </is>
      </c>
    </row>
    <row r="1739">
      <c r="A1739" s="2" t="n">
        <v>46664</v>
      </c>
      <c r="B1739" s="3" t="n">
        <v>2027</v>
      </c>
      <c r="C1739" s="3" t="n">
        <v>10</v>
      </c>
      <c r="D1739" s="3" t="n">
        <v>40</v>
      </c>
      <c r="E1739" s="3" t="inlineStr">
        <is>
          <t>S27-40</t>
        </is>
      </c>
    </row>
    <row r="1740">
      <c r="A1740" s="2" t="n">
        <v>46665</v>
      </c>
      <c r="B1740" s="3" t="n">
        <v>2027</v>
      </c>
      <c r="C1740" s="3" t="n">
        <v>10</v>
      </c>
      <c r="D1740" s="3" t="n">
        <v>40</v>
      </c>
      <c r="E1740" s="3" t="inlineStr">
        <is>
          <t>S27-40</t>
        </is>
      </c>
    </row>
    <row r="1741">
      <c r="A1741" s="2" t="n">
        <v>46666</v>
      </c>
      <c r="B1741" s="3" t="n">
        <v>2027</v>
      </c>
      <c r="C1741" s="3" t="n">
        <v>10</v>
      </c>
      <c r="D1741" s="3" t="n">
        <v>40</v>
      </c>
      <c r="E1741" s="3" t="inlineStr">
        <is>
          <t>S27-40</t>
        </is>
      </c>
    </row>
    <row r="1742">
      <c r="A1742" s="2" t="n">
        <v>46667</v>
      </c>
      <c r="B1742" s="3" t="n">
        <v>2027</v>
      </c>
      <c r="C1742" s="3" t="n">
        <v>10</v>
      </c>
      <c r="D1742" s="3" t="n">
        <v>40</v>
      </c>
      <c r="E1742" s="3" t="inlineStr">
        <is>
          <t>S27-40</t>
        </is>
      </c>
    </row>
    <row r="1743">
      <c r="A1743" s="2" t="n">
        <v>46668</v>
      </c>
      <c r="B1743" s="3" t="n">
        <v>2027</v>
      </c>
      <c r="C1743" s="3" t="n">
        <v>10</v>
      </c>
      <c r="D1743" s="3" t="n">
        <v>40</v>
      </c>
      <c r="E1743" s="3" t="inlineStr">
        <is>
          <t>S27-40</t>
        </is>
      </c>
    </row>
    <row r="1744">
      <c r="A1744" s="2" t="n">
        <v>46669</v>
      </c>
      <c r="B1744" s="3" t="n">
        <v>2027</v>
      </c>
      <c r="C1744" s="3" t="n">
        <v>10</v>
      </c>
      <c r="D1744" s="3" t="n">
        <v>40</v>
      </c>
      <c r="E1744" s="3" t="inlineStr">
        <is>
          <t>S27-40</t>
        </is>
      </c>
    </row>
    <row r="1745">
      <c r="A1745" s="2" t="n">
        <v>46670</v>
      </c>
      <c r="B1745" s="3" t="n">
        <v>2027</v>
      </c>
      <c r="C1745" s="3" t="n">
        <v>10</v>
      </c>
      <c r="D1745" s="3" t="n">
        <v>40</v>
      </c>
      <c r="E1745" s="3" t="inlineStr">
        <is>
          <t>S27-40</t>
        </is>
      </c>
    </row>
    <row r="1746">
      <c r="A1746" s="2" t="n">
        <v>46671</v>
      </c>
      <c r="B1746" s="3" t="n">
        <v>2027</v>
      </c>
      <c r="C1746" s="3" t="n">
        <v>10</v>
      </c>
      <c r="D1746" s="3" t="n">
        <v>41</v>
      </c>
      <c r="E1746" s="3" t="inlineStr">
        <is>
          <t>S27-41</t>
        </is>
      </c>
    </row>
    <row r="1747">
      <c r="A1747" s="2" t="n">
        <v>46672</v>
      </c>
      <c r="B1747" s="3" t="n">
        <v>2027</v>
      </c>
      <c r="C1747" s="3" t="n">
        <v>10</v>
      </c>
      <c r="D1747" s="3" t="n">
        <v>41</v>
      </c>
      <c r="E1747" s="3" t="inlineStr">
        <is>
          <t>S27-41</t>
        </is>
      </c>
    </row>
    <row r="1748">
      <c r="A1748" s="2" t="n">
        <v>46673</v>
      </c>
      <c r="B1748" s="3" t="n">
        <v>2027</v>
      </c>
      <c r="C1748" s="3" t="n">
        <v>10</v>
      </c>
      <c r="D1748" s="3" t="n">
        <v>41</v>
      </c>
      <c r="E1748" s="3" t="inlineStr">
        <is>
          <t>S27-41</t>
        </is>
      </c>
    </row>
    <row r="1749">
      <c r="A1749" s="2" t="n">
        <v>46674</v>
      </c>
      <c r="B1749" s="3" t="n">
        <v>2027</v>
      </c>
      <c r="C1749" s="3" t="n">
        <v>10</v>
      </c>
      <c r="D1749" s="3" t="n">
        <v>41</v>
      </c>
      <c r="E1749" s="3" t="inlineStr">
        <is>
          <t>S27-41</t>
        </is>
      </c>
    </row>
    <row r="1750">
      <c r="A1750" s="2" t="n">
        <v>46675</v>
      </c>
      <c r="B1750" s="3" t="n">
        <v>2027</v>
      </c>
      <c r="C1750" s="3" t="n">
        <v>10</v>
      </c>
      <c r="D1750" s="3" t="n">
        <v>41</v>
      </c>
      <c r="E1750" s="3" t="inlineStr">
        <is>
          <t>S27-41</t>
        </is>
      </c>
    </row>
    <row r="1751">
      <c r="A1751" s="2" t="n">
        <v>46676</v>
      </c>
      <c r="B1751" s="3" t="n">
        <v>2027</v>
      </c>
      <c r="C1751" s="3" t="n">
        <v>10</v>
      </c>
      <c r="D1751" s="3" t="n">
        <v>41</v>
      </c>
      <c r="E1751" s="3" t="inlineStr">
        <is>
          <t>S27-41</t>
        </is>
      </c>
    </row>
    <row r="1752">
      <c r="A1752" s="2" t="n">
        <v>46677</v>
      </c>
      <c r="B1752" s="3" t="n">
        <v>2027</v>
      </c>
      <c r="C1752" s="3" t="n">
        <v>10</v>
      </c>
      <c r="D1752" s="3" t="n">
        <v>41</v>
      </c>
      <c r="E1752" s="3" t="inlineStr">
        <is>
          <t>S27-41</t>
        </is>
      </c>
    </row>
    <row r="1753">
      <c r="A1753" s="2" t="n">
        <v>46678</v>
      </c>
      <c r="B1753" s="3" t="n">
        <v>2027</v>
      </c>
      <c r="C1753" s="3" t="n">
        <v>10</v>
      </c>
      <c r="D1753" s="3" t="n">
        <v>42</v>
      </c>
      <c r="E1753" s="3" t="inlineStr">
        <is>
          <t>S27-42</t>
        </is>
      </c>
    </row>
    <row r="1754">
      <c r="A1754" s="2" t="n">
        <v>46679</v>
      </c>
      <c r="B1754" s="3" t="n">
        <v>2027</v>
      </c>
      <c r="C1754" s="3" t="n">
        <v>10</v>
      </c>
      <c r="D1754" s="3" t="n">
        <v>42</v>
      </c>
      <c r="E1754" s="3" t="inlineStr">
        <is>
          <t>S27-42</t>
        </is>
      </c>
    </row>
    <row r="1755">
      <c r="A1755" s="2" t="n">
        <v>46680</v>
      </c>
      <c r="B1755" s="3" t="n">
        <v>2027</v>
      </c>
      <c r="C1755" s="3" t="n">
        <v>10</v>
      </c>
      <c r="D1755" s="3" t="n">
        <v>42</v>
      </c>
      <c r="E1755" s="3" t="inlineStr">
        <is>
          <t>S27-42</t>
        </is>
      </c>
    </row>
    <row r="1756">
      <c r="A1756" s="2" t="n">
        <v>46681</v>
      </c>
      <c r="B1756" s="3" t="n">
        <v>2027</v>
      </c>
      <c r="C1756" s="3" t="n">
        <v>10</v>
      </c>
      <c r="D1756" s="3" t="n">
        <v>42</v>
      </c>
      <c r="E1756" s="3" t="inlineStr">
        <is>
          <t>S27-42</t>
        </is>
      </c>
    </row>
    <row r="1757">
      <c r="A1757" s="2" t="n">
        <v>46682</v>
      </c>
      <c r="B1757" s="3" t="n">
        <v>2027</v>
      </c>
      <c r="C1757" s="3" t="n">
        <v>10</v>
      </c>
      <c r="D1757" s="3" t="n">
        <v>42</v>
      </c>
      <c r="E1757" s="3" t="inlineStr">
        <is>
          <t>S27-42</t>
        </is>
      </c>
    </row>
    <row r="1758">
      <c r="A1758" s="2" t="n">
        <v>46683</v>
      </c>
      <c r="B1758" s="3" t="n">
        <v>2027</v>
      </c>
      <c r="C1758" s="3" t="n">
        <v>10</v>
      </c>
      <c r="D1758" s="3" t="n">
        <v>42</v>
      </c>
      <c r="E1758" s="3" t="inlineStr">
        <is>
          <t>S27-42</t>
        </is>
      </c>
    </row>
    <row r="1759">
      <c r="A1759" s="2" t="n">
        <v>46684</v>
      </c>
      <c r="B1759" s="3" t="n">
        <v>2027</v>
      </c>
      <c r="C1759" s="3" t="n">
        <v>10</v>
      </c>
      <c r="D1759" s="3" t="n">
        <v>42</v>
      </c>
      <c r="E1759" s="3" t="inlineStr">
        <is>
          <t>S27-42</t>
        </is>
      </c>
    </row>
    <row r="1760">
      <c r="A1760" s="2" t="n">
        <v>46685</v>
      </c>
      <c r="B1760" s="3" t="n">
        <v>2027</v>
      </c>
      <c r="C1760" s="3" t="n">
        <v>10</v>
      </c>
      <c r="D1760" s="3" t="n">
        <v>43</v>
      </c>
      <c r="E1760" s="3" t="inlineStr">
        <is>
          <t>S27-43</t>
        </is>
      </c>
    </row>
    <row r="1761">
      <c r="A1761" s="2" t="n">
        <v>46686</v>
      </c>
      <c r="B1761" s="3" t="n">
        <v>2027</v>
      </c>
      <c r="C1761" s="3" t="n">
        <v>10</v>
      </c>
      <c r="D1761" s="3" t="n">
        <v>43</v>
      </c>
      <c r="E1761" s="3" t="inlineStr">
        <is>
          <t>S27-43</t>
        </is>
      </c>
    </row>
    <row r="1762">
      <c r="A1762" s="2" t="n">
        <v>46687</v>
      </c>
      <c r="B1762" s="3" t="n">
        <v>2027</v>
      </c>
      <c r="C1762" s="3" t="n">
        <v>10</v>
      </c>
      <c r="D1762" s="3" t="n">
        <v>43</v>
      </c>
      <c r="E1762" s="3" t="inlineStr">
        <is>
          <t>S27-43</t>
        </is>
      </c>
    </row>
    <row r="1763">
      <c r="A1763" s="2" t="n">
        <v>46688</v>
      </c>
      <c r="B1763" s="3" t="n">
        <v>2027</v>
      </c>
      <c r="C1763" s="3" t="n">
        <v>10</v>
      </c>
      <c r="D1763" s="3" t="n">
        <v>43</v>
      </c>
      <c r="E1763" s="3" t="inlineStr">
        <is>
          <t>S27-43</t>
        </is>
      </c>
    </row>
    <row r="1764">
      <c r="A1764" s="2" t="n">
        <v>46689</v>
      </c>
      <c r="B1764" s="3" t="n">
        <v>2027</v>
      </c>
      <c r="C1764" s="3" t="n">
        <v>10</v>
      </c>
      <c r="D1764" s="3" t="n">
        <v>43</v>
      </c>
      <c r="E1764" s="3" t="inlineStr">
        <is>
          <t>S27-43</t>
        </is>
      </c>
    </row>
    <row r="1765">
      <c r="A1765" s="2" t="n">
        <v>46690</v>
      </c>
      <c r="B1765" s="3" t="n">
        <v>2027</v>
      </c>
      <c r="C1765" s="3" t="n">
        <v>10</v>
      </c>
      <c r="D1765" s="3" t="n">
        <v>43</v>
      </c>
      <c r="E1765" s="3" t="inlineStr">
        <is>
          <t>S27-43</t>
        </is>
      </c>
    </row>
    <row r="1766">
      <c r="A1766" s="2" t="n">
        <v>46691</v>
      </c>
      <c r="B1766" s="3" t="n">
        <v>2027</v>
      </c>
      <c r="C1766" s="3" t="n">
        <v>10</v>
      </c>
      <c r="D1766" s="3" t="n">
        <v>43</v>
      </c>
      <c r="E1766" s="3" t="inlineStr">
        <is>
          <t>S27-43</t>
        </is>
      </c>
    </row>
    <row r="1767">
      <c r="A1767" s="2" t="n">
        <v>46692</v>
      </c>
      <c r="B1767" s="3" t="n">
        <v>2027</v>
      </c>
      <c r="C1767" s="3" t="n">
        <v>11</v>
      </c>
      <c r="D1767" s="3" t="n">
        <v>44</v>
      </c>
      <c r="E1767" s="3" t="inlineStr">
        <is>
          <t>S27-44</t>
        </is>
      </c>
    </row>
    <row r="1768">
      <c r="A1768" s="2" t="n">
        <v>46693</v>
      </c>
      <c r="B1768" s="3" t="n">
        <v>2027</v>
      </c>
      <c r="C1768" s="3" t="n">
        <v>11</v>
      </c>
      <c r="D1768" s="3" t="n">
        <v>44</v>
      </c>
      <c r="E1768" s="3" t="inlineStr">
        <is>
          <t>S27-44</t>
        </is>
      </c>
    </row>
    <row r="1769">
      <c r="A1769" s="2" t="n">
        <v>46694</v>
      </c>
      <c r="B1769" s="3" t="n">
        <v>2027</v>
      </c>
      <c r="C1769" s="3" t="n">
        <v>11</v>
      </c>
      <c r="D1769" s="3" t="n">
        <v>44</v>
      </c>
      <c r="E1769" s="3" t="inlineStr">
        <is>
          <t>S27-44</t>
        </is>
      </c>
    </row>
    <row r="1770">
      <c r="A1770" s="2" t="n">
        <v>46695</v>
      </c>
      <c r="B1770" s="3" t="n">
        <v>2027</v>
      </c>
      <c r="C1770" s="3" t="n">
        <v>11</v>
      </c>
      <c r="D1770" s="3" t="n">
        <v>44</v>
      </c>
      <c r="E1770" s="3" t="inlineStr">
        <is>
          <t>S27-44</t>
        </is>
      </c>
    </row>
    <row r="1771">
      <c r="A1771" s="2" t="n">
        <v>46696</v>
      </c>
      <c r="B1771" s="3" t="n">
        <v>2027</v>
      </c>
      <c r="C1771" s="3" t="n">
        <v>11</v>
      </c>
      <c r="D1771" s="3" t="n">
        <v>44</v>
      </c>
      <c r="E1771" s="3" t="inlineStr">
        <is>
          <t>S27-44</t>
        </is>
      </c>
    </row>
    <row r="1772">
      <c r="A1772" s="2" t="n">
        <v>46697</v>
      </c>
      <c r="B1772" s="3" t="n">
        <v>2027</v>
      </c>
      <c r="C1772" s="3" t="n">
        <v>11</v>
      </c>
      <c r="D1772" s="3" t="n">
        <v>44</v>
      </c>
      <c r="E1772" s="3" t="inlineStr">
        <is>
          <t>S27-44</t>
        </is>
      </c>
    </row>
    <row r="1773">
      <c r="A1773" s="2" t="n">
        <v>46698</v>
      </c>
      <c r="B1773" s="3" t="n">
        <v>2027</v>
      </c>
      <c r="C1773" s="3" t="n">
        <v>11</v>
      </c>
      <c r="D1773" s="3" t="n">
        <v>44</v>
      </c>
      <c r="E1773" s="3" t="inlineStr">
        <is>
          <t>S27-44</t>
        </is>
      </c>
    </row>
    <row r="1774">
      <c r="A1774" s="2" t="n">
        <v>46699</v>
      </c>
      <c r="B1774" s="3" t="n">
        <v>2027</v>
      </c>
      <c r="C1774" s="3" t="n">
        <v>11</v>
      </c>
      <c r="D1774" s="3" t="n">
        <v>45</v>
      </c>
      <c r="E1774" s="3" t="inlineStr">
        <is>
          <t>S27-45</t>
        </is>
      </c>
    </row>
    <row r="1775">
      <c r="A1775" s="2" t="n">
        <v>46700</v>
      </c>
      <c r="B1775" s="3" t="n">
        <v>2027</v>
      </c>
      <c r="C1775" s="3" t="n">
        <v>11</v>
      </c>
      <c r="D1775" s="3" t="n">
        <v>45</v>
      </c>
      <c r="E1775" s="3" t="inlineStr">
        <is>
          <t>S27-45</t>
        </is>
      </c>
    </row>
    <row r="1776">
      <c r="A1776" s="2" t="n">
        <v>46701</v>
      </c>
      <c r="B1776" s="3" t="n">
        <v>2027</v>
      </c>
      <c r="C1776" s="3" t="n">
        <v>11</v>
      </c>
      <c r="D1776" s="3" t="n">
        <v>45</v>
      </c>
      <c r="E1776" s="3" t="inlineStr">
        <is>
          <t>S27-45</t>
        </is>
      </c>
    </row>
    <row r="1777">
      <c r="A1777" s="2" t="n">
        <v>46702</v>
      </c>
      <c r="B1777" s="3" t="n">
        <v>2027</v>
      </c>
      <c r="C1777" s="3" t="n">
        <v>11</v>
      </c>
      <c r="D1777" s="3" t="n">
        <v>45</v>
      </c>
      <c r="E1777" s="3" t="inlineStr">
        <is>
          <t>S27-45</t>
        </is>
      </c>
    </row>
    <row r="1778">
      <c r="A1778" s="2" t="n">
        <v>46703</v>
      </c>
      <c r="B1778" s="3" t="n">
        <v>2027</v>
      </c>
      <c r="C1778" s="3" t="n">
        <v>11</v>
      </c>
      <c r="D1778" s="3" t="n">
        <v>45</v>
      </c>
      <c r="E1778" s="3" t="inlineStr">
        <is>
          <t>S27-45</t>
        </is>
      </c>
    </row>
    <row r="1779">
      <c r="A1779" s="2" t="n">
        <v>46704</v>
      </c>
      <c r="B1779" s="3" t="n">
        <v>2027</v>
      </c>
      <c r="C1779" s="3" t="n">
        <v>11</v>
      </c>
      <c r="D1779" s="3" t="n">
        <v>45</v>
      </c>
      <c r="E1779" s="3" t="inlineStr">
        <is>
          <t>S27-45</t>
        </is>
      </c>
    </row>
    <row r="1780">
      <c r="A1780" s="2" t="n">
        <v>46705</v>
      </c>
      <c r="B1780" s="3" t="n">
        <v>2027</v>
      </c>
      <c r="C1780" s="3" t="n">
        <v>11</v>
      </c>
      <c r="D1780" s="3" t="n">
        <v>45</v>
      </c>
      <c r="E1780" s="3" t="inlineStr">
        <is>
          <t>S27-45</t>
        </is>
      </c>
    </row>
    <row r="1781">
      <c r="A1781" s="2" t="n">
        <v>46706</v>
      </c>
      <c r="B1781" s="3" t="n">
        <v>2027</v>
      </c>
      <c r="C1781" s="3" t="n">
        <v>11</v>
      </c>
      <c r="D1781" s="3" t="n">
        <v>46</v>
      </c>
      <c r="E1781" s="3" t="inlineStr">
        <is>
          <t>S27-46</t>
        </is>
      </c>
    </row>
    <row r="1782">
      <c r="A1782" s="2" t="n">
        <v>46707</v>
      </c>
      <c r="B1782" s="3" t="n">
        <v>2027</v>
      </c>
      <c r="C1782" s="3" t="n">
        <v>11</v>
      </c>
      <c r="D1782" s="3" t="n">
        <v>46</v>
      </c>
      <c r="E1782" s="3" t="inlineStr">
        <is>
          <t>S27-46</t>
        </is>
      </c>
    </row>
    <row r="1783">
      <c r="A1783" s="2" t="n">
        <v>46708</v>
      </c>
      <c r="B1783" s="3" t="n">
        <v>2027</v>
      </c>
      <c r="C1783" s="3" t="n">
        <v>11</v>
      </c>
      <c r="D1783" s="3" t="n">
        <v>46</v>
      </c>
      <c r="E1783" s="3" t="inlineStr">
        <is>
          <t>S27-46</t>
        </is>
      </c>
    </row>
    <row r="1784">
      <c r="A1784" s="2" t="n">
        <v>46709</v>
      </c>
      <c r="B1784" s="3" t="n">
        <v>2027</v>
      </c>
      <c r="C1784" s="3" t="n">
        <v>11</v>
      </c>
      <c r="D1784" s="3" t="n">
        <v>46</v>
      </c>
      <c r="E1784" s="3" t="inlineStr">
        <is>
          <t>S27-46</t>
        </is>
      </c>
    </row>
    <row r="1785">
      <c r="A1785" s="2" t="n">
        <v>46710</v>
      </c>
      <c r="B1785" s="3" t="n">
        <v>2027</v>
      </c>
      <c r="C1785" s="3" t="n">
        <v>11</v>
      </c>
      <c r="D1785" s="3" t="n">
        <v>46</v>
      </c>
      <c r="E1785" s="3" t="inlineStr">
        <is>
          <t>S27-46</t>
        </is>
      </c>
    </row>
    <row r="1786">
      <c r="A1786" s="2" t="n">
        <v>46711</v>
      </c>
      <c r="B1786" s="3" t="n">
        <v>2027</v>
      </c>
      <c r="C1786" s="3" t="n">
        <v>11</v>
      </c>
      <c r="D1786" s="3" t="n">
        <v>46</v>
      </c>
      <c r="E1786" s="3" t="inlineStr">
        <is>
          <t>S27-46</t>
        </is>
      </c>
    </row>
    <row r="1787">
      <c r="A1787" s="2" t="n">
        <v>46712</v>
      </c>
      <c r="B1787" s="3" t="n">
        <v>2027</v>
      </c>
      <c r="C1787" s="3" t="n">
        <v>11</v>
      </c>
      <c r="D1787" s="3" t="n">
        <v>46</v>
      </c>
      <c r="E1787" s="3" t="inlineStr">
        <is>
          <t>S27-46</t>
        </is>
      </c>
    </row>
    <row r="1788">
      <c r="A1788" s="2" t="n">
        <v>46713</v>
      </c>
      <c r="B1788" s="3" t="n">
        <v>2027</v>
      </c>
      <c r="C1788" s="3" t="n">
        <v>11</v>
      </c>
      <c r="D1788" s="3" t="n">
        <v>47</v>
      </c>
      <c r="E1788" s="3" t="inlineStr">
        <is>
          <t>S27-47</t>
        </is>
      </c>
    </row>
    <row r="1789">
      <c r="A1789" s="2" t="n">
        <v>46714</v>
      </c>
      <c r="B1789" s="3" t="n">
        <v>2027</v>
      </c>
      <c r="C1789" s="3" t="n">
        <v>11</v>
      </c>
      <c r="D1789" s="3" t="n">
        <v>47</v>
      </c>
      <c r="E1789" s="3" t="inlineStr">
        <is>
          <t>S27-47</t>
        </is>
      </c>
    </row>
    <row r="1790">
      <c r="A1790" s="2" t="n">
        <v>46715</v>
      </c>
      <c r="B1790" s="3" t="n">
        <v>2027</v>
      </c>
      <c r="C1790" s="3" t="n">
        <v>11</v>
      </c>
      <c r="D1790" s="3" t="n">
        <v>47</v>
      </c>
      <c r="E1790" s="3" t="inlineStr">
        <is>
          <t>S27-47</t>
        </is>
      </c>
    </row>
    <row r="1791">
      <c r="A1791" s="2" t="n">
        <v>46716</v>
      </c>
      <c r="B1791" s="3" t="n">
        <v>2027</v>
      </c>
      <c r="C1791" s="3" t="n">
        <v>11</v>
      </c>
      <c r="D1791" s="3" t="n">
        <v>47</v>
      </c>
      <c r="E1791" s="3" t="inlineStr">
        <is>
          <t>S27-47</t>
        </is>
      </c>
    </row>
    <row r="1792">
      <c r="A1792" s="2" t="n">
        <v>46717</v>
      </c>
      <c r="B1792" s="3" t="n">
        <v>2027</v>
      </c>
      <c r="C1792" s="3" t="n">
        <v>11</v>
      </c>
      <c r="D1792" s="3" t="n">
        <v>47</v>
      </c>
      <c r="E1792" s="3" t="inlineStr">
        <is>
          <t>S27-47</t>
        </is>
      </c>
    </row>
    <row r="1793">
      <c r="A1793" s="2" t="n">
        <v>46718</v>
      </c>
      <c r="B1793" s="3" t="n">
        <v>2027</v>
      </c>
      <c r="C1793" s="3" t="n">
        <v>11</v>
      </c>
      <c r="D1793" s="3" t="n">
        <v>47</v>
      </c>
      <c r="E1793" s="3" t="inlineStr">
        <is>
          <t>S27-47</t>
        </is>
      </c>
    </row>
    <row r="1794">
      <c r="A1794" s="2" t="n">
        <v>46719</v>
      </c>
      <c r="B1794" s="3" t="n">
        <v>2027</v>
      </c>
      <c r="C1794" s="3" t="n">
        <v>11</v>
      </c>
      <c r="D1794" s="3" t="n">
        <v>47</v>
      </c>
      <c r="E1794" s="3" t="inlineStr">
        <is>
          <t>S27-47</t>
        </is>
      </c>
    </row>
    <row r="1795">
      <c r="A1795" s="2" t="n">
        <v>46720</v>
      </c>
      <c r="B1795" s="3" t="n">
        <v>2027</v>
      </c>
      <c r="C1795" s="3" t="n">
        <v>11</v>
      </c>
      <c r="D1795" s="3" t="n">
        <v>48</v>
      </c>
      <c r="E1795" s="3" t="inlineStr">
        <is>
          <t>S27-48</t>
        </is>
      </c>
    </row>
    <row r="1796">
      <c r="A1796" s="2" t="n">
        <v>46721</v>
      </c>
      <c r="B1796" s="3" t="n">
        <v>2027</v>
      </c>
      <c r="C1796" s="3" t="n">
        <v>11</v>
      </c>
      <c r="D1796" s="3" t="n">
        <v>48</v>
      </c>
      <c r="E1796" s="3" t="inlineStr">
        <is>
          <t>S27-48</t>
        </is>
      </c>
    </row>
    <row r="1797">
      <c r="A1797" s="2" t="n">
        <v>46722</v>
      </c>
      <c r="B1797" s="3" t="n">
        <v>2027</v>
      </c>
      <c r="C1797" s="3" t="n">
        <v>12</v>
      </c>
      <c r="D1797" s="3" t="n">
        <v>48</v>
      </c>
      <c r="E1797" s="3" t="inlineStr">
        <is>
          <t>S27-48</t>
        </is>
      </c>
    </row>
    <row r="1798">
      <c r="A1798" s="2" t="n">
        <v>46723</v>
      </c>
      <c r="B1798" s="3" t="n">
        <v>2027</v>
      </c>
      <c r="C1798" s="3" t="n">
        <v>12</v>
      </c>
      <c r="D1798" s="3" t="n">
        <v>48</v>
      </c>
      <c r="E1798" s="3" t="inlineStr">
        <is>
          <t>S27-48</t>
        </is>
      </c>
    </row>
    <row r="1799">
      <c r="A1799" s="2" t="n">
        <v>46724</v>
      </c>
      <c r="B1799" s="3" t="n">
        <v>2027</v>
      </c>
      <c r="C1799" s="3" t="n">
        <v>12</v>
      </c>
      <c r="D1799" s="3" t="n">
        <v>48</v>
      </c>
      <c r="E1799" s="3" t="inlineStr">
        <is>
          <t>S27-48</t>
        </is>
      </c>
    </row>
    <row r="1800">
      <c r="A1800" s="2" t="n">
        <v>46725</v>
      </c>
      <c r="B1800" s="3" t="n">
        <v>2027</v>
      </c>
      <c r="C1800" s="3" t="n">
        <v>12</v>
      </c>
      <c r="D1800" s="3" t="n">
        <v>48</v>
      </c>
      <c r="E1800" s="3" t="inlineStr">
        <is>
          <t>S27-48</t>
        </is>
      </c>
    </row>
    <row r="1801">
      <c r="A1801" s="2" t="n">
        <v>46726</v>
      </c>
      <c r="B1801" s="3" t="n">
        <v>2027</v>
      </c>
      <c r="C1801" s="3" t="n">
        <v>12</v>
      </c>
      <c r="D1801" s="3" t="n">
        <v>48</v>
      </c>
      <c r="E1801" s="3" t="inlineStr">
        <is>
          <t>S27-48</t>
        </is>
      </c>
    </row>
    <row r="1802">
      <c r="A1802" s="2" t="n">
        <v>46727</v>
      </c>
      <c r="B1802" s="3" t="n">
        <v>2027</v>
      </c>
      <c r="C1802" s="3" t="n">
        <v>12</v>
      </c>
      <c r="D1802" s="3" t="n">
        <v>49</v>
      </c>
      <c r="E1802" s="3" t="inlineStr">
        <is>
          <t>S27-49</t>
        </is>
      </c>
    </row>
    <row r="1803">
      <c r="A1803" s="2" t="n">
        <v>46728</v>
      </c>
      <c r="B1803" s="3" t="n">
        <v>2027</v>
      </c>
      <c r="C1803" s="3" t="n">
        <v>12</v>
      </c>
      <c r="D1803" s="3" t="n">
        <v>49</v>
      </c>
      <c r="E1803" s="3" t="inlineStr">
        <is>
          <t>S27-49</t>
        </is>
      </c>
    </row>
    <row r="1804">
      <c r="A1804" s="2" t="n">
        <v>46729</v>
      </c>
      <c r="B1804" s="3" t="n">
        <v>2027</v>
      </c>
      <c r="C1804" s="3" t="n">
        <v>12</v>
      </c>
      <c r="D1804" s="3" t="n">
        <v>49</v>
      </c>
      <c r="E1804" s="3" t="inlineStr">
        <is>
          <t>S27-49</t>
        </is>
      </c>
    </row>
    <row r="1805">
      <c r="A1805" s="2" t="n">
        <v>46730</v>
      </c>
      <c r="B1805" s="3" t="n">
        <v>2027</v>
      </c>
      <c r="C1805" s="3" t="n">
        <v>12</v>
      </c>
      <c r="D1805" s="3" t="n">
        <v>49</v>
      </c>
      <c r="E1805" s="3" t="inlineStr">
        <is>
          <t>S27-49</t>
        </is>
      </c>
    </row>
    <row r="1806">
      <c r="A1806" s="2" t="n">
        <v>46731</v>
      </c>
      <c r="B1806" s="3" t="n">
        <v>2027</v>
      </c>
      <c r="C1806" s="3" t="n">
        <v>12</v>
      </c>
      <c r="D1806" s="3" t="n">
        <v>49</v>
      </c>
      <c r="E1806" s="3" t="inlineStr">
        <is>
          <t>S27-49</t>
        </is>
      </c>
    </row>
    <row r="1807">
      <c r="A1807" s="2" t="n">
        <v>46732</v>
      </c>
      <c r="B1807" s="3" t="n">
        <v>2027</v>
      </c>
      <c r="C1807" s="3" t="n">
        <v>12</v>
      </c>
      <c r="D1807" s="3" t="n">
        <v>49</v>
      </c>
      <c r="E1807" s="3" t="inlineStr">
        <is>
          <t>S27-49</t>
        </is>
      </c>
    </row>
    <row r="1808">
      <c r="A1808" s="2" t="n">
        <v>46733</v>
      </c>
      <c r="B1808" s="3" t="n">
        <v>2027</v>
      </c>
      <c r="C1808" s="3" t="n">
        <v>12</v>
      </c>
      <c r="D1808" s="3" t="n">
        <v>49</v>
      </c>
      <c r="E1808" s="3" t="inlineStr">
        <is>
          <t>S27-49</t>
        </is>
      </c>
    </row>
    <row r="1809">
      <c r="A1809" s="2" t="n">
        <v>46734</v>
      </c>
      <c r="B1809" s="3" t="n">
        <v>2027</v>
      </c>
      <c r="C1809" s="3" t="n">
        <v>12</v>
      </c>
      <c r="D1809" s="3" t="n">
        <v>50</v>
      </c>
      <c r="E1809" s="3" t="inlineStr">
        <is>
          <t>S27-50</t>
        </is>
      </c>
    </row>
    <row r="1810">
      <c r="A1810" s="2" t="n">
        <v>46735</v>
      </c>
      <c r="B1810" s="3" t="n">
        <v>2027</v>
      </c>
      <c r="C1810" s="3" t="n">
        <v>12</v>
      </c>
      <c r="D1810" s="3" t="n">
        <v>50</v>
      </c>
      <c r="E1810" s="3" t="inlineStr">
        <is>
          <t>S27-50</t>
        </is>
      </c>
    </row>
    <row r="1811">
      <c r="A1811" s="2" t="n">
        <v>46736</v>
      </c>
      <c r="B1811" s="3" t="n">
        <v>2027</v>
      </c>
      <c r="C1811" s="3" t="n">
        <v>12</v>
      </c>
      <c r="D1811" s="3" t="n">
        <v>50</v>
      </c>
      <c r="E1811" s="3" t="inlineStr">
        <is>
          <t>S27-50</t>
        </is>
      </c>
    </row>
    <row r="1812">
      <c r="A1812" s="2" t="n">
        <v>46737</v>
      </c>
      <c r="B1812" s="3" t="n">
        <v>2027</v>
      </c>
      <c r="C1812" s="3" t="n">
        <v>12</v>
      </c>
      <c r="D1812" s="3" t="n">
        <v>50</v>
      </c>
      <c r="E1812" s="3" t="inlineStr">
        <is>
          <t>S27-50</t>
        </is>
      </c>
    </row>
    <row r="1813">
      <c r="A1813" s="2" t="n">
        <v>46738</v>
      </c>
      <c r="B1813" s="3" t="n">
        <v>2027</v>
      </c>
      <c r="C1813" s="3" t="n">
        <v>12</v>
      </c>
      <c r="D1813" s="3" t="n">
        <v>50</v>
      </c>
      <c r="E1813" s="3" t="inlineStr">
        <is>
          <t>S27-50</t>
        </is>
      </c>
    </row>
    <row r="1814">
      <c r="A1814" s="2" t="n">
        <v>46739</v>
      </c>
      <c r="B1814" s="3" t="n">
        <v>2027</v>
      </c>
      <c r="C1814" s="3" t="n">
        <v>12</v>
      </c>
      <c r="D1814" s="3" t="n">
        <v>50</v>
      </c>
      <c r="E1814" s="3" t="inlineStr">
        <is>
          <t>S27-50</t>
        </is>
      </c>
    </row>
    <row r="1815">
      <c r="A1815" s="2" t="n">
        <v>46740</v>
      </c>
      <c r="B1815" s="3" t="n">
        <v>2027</v>
      </c>
      <c r="C1815" s="3" t="n">
        <v>12</v>
      </c>
      <c r="D1815" s="3" t="n">
        <v>50</v>
      </c>
      <c r="E1815" s="3" t="inlineStr">
        <is>
          <t>S27-50</t>
        </is>
      </c>
    </row>
    <row r="1816">
      <c r="A1816" s="2" t="n">
        <v>46741</v>
      </c>
      <c r="B1816" s="3" t="n">
        <v>2027</v>
      </c>
      <c r="C1816" s="3" t="n">
        <v>12</v>
      </c>
      <c r="D1816" s="3" t="n">
        <v>51</v>
      </c>
      <c r="E1816" s="3" t="inlineStr">
        <is>
          <t>S27-51</t>
        </is>
      </c>
    </row>
    <row r="1817">
      <c r="A1817" s="2" t="n">
        <v>46742</v>
      </c>
      <c r="B1817" s="3" t="n">
        <v>2027</v>
      </c>
      <c r="C1817" s="3" t="n">
        <v>12</v>
      </c>
      <c r="D1817" s="3" t="n">
        <v>51</v>
      </c>
      <c r="E1817" s="3" t="inlineStr">
        <is>
          <t>S27-51</t>
        </is>
      </c>
    </row>
    <row r="1818">
      <c r="A1818" s="2" t="n">
        <v>46743</v>
      </c>
      <c r="B1818" s="3" t="n">
        <v>2027</v>
      </c>
      <c r="C1818" s="3" t="n">
        <v>12</v>
      </c>
      <c r="D1818" s="3" t="n">
        <v>51</v>
      </c>
      <c r="E1818" s="3" t="inlineStr">
        <is>
          <t>S27-51</t>
        </is>
      </c>
    </row>
    <row r="1819">
      <c r="A1819" s="2" t="n">
        <v>46744</v>
      </c>
      <c r="B1819" s="3" t="n">
        <v>2027</v>
      </c>
      <c r="C1819" s="3" t="n">
        <v>12</v>
      </c>
      <c r="D1819" s="3" t="n">
        <v>51</v>
      </c>
      <c r="E1819" s="3" t="inlineStr">
        <is>
          <t>S27-51</t>
        </is>
      </c>
    </row>
    <row r="1820">
      <c r="A1820" s="2" t="n">
        <v>46745</v>
      </c>
      <c r="B1820" s="3" t="n">
        <v>2027</v>
      </c>
      <c r="C1820" s="3" t="n">
        <v>12</v>
      </c>
      <c r="D1820" s="3" t="n">
        <v>51</v>
      </c>
      <c r="E1820" s="3" t="inlineStr">
        <is>
          <t>S27-51</t>
        </is>
      </c>
    </row>
    <row r="1821">
      <c r="A1821" s="2" t="n">
        <v>46746</v>
      </c>
      <c r="B1821" s="3" t="n">
        <v>2027</v>
      </c>
      <c r="C1821" s="3" t="n">
        <v>12</v>
      </c>
      <c r="D1821" s="3" t="n">
        <v>51</v>
      </c>
      <c r="E1821" s="3" t="inlineStr">
        <is>
          <t>S27-51</t>
        </is>
      </c>
    </row>
    <row r="1822">
      <c r="A1822" s="2" t="n">
        <v>46747</v>
      </c>
      <c r="B1822" s="3" t="n">
        <v>2027</v>
      </c>
      <c r="C1822" s="3" t="n">
        <v>12</v>
      </c>
      <c r="D1822" s="3" t="n">
        <v>51</v>
      </c>
      <c r="E1822" s="3" t="inlineStr">
        <is>
          <t>S27-51</t>
        </is>
      </c>
    </row>
    <row r="1823">
      <c r="A1823" s="2" t="n">
        <v>46748</v>
      </c>
      <c r="B1823" s="3" t="n">
        <v>2027</v>
      </c>
      <c r="C1823" s="3" t="n">
        <v>12</v>
      </c>
      <c r="D1823" s="3" t="n">
        <v>52</v>
      </c>
      <c r="E1823" s="3" t="inlineStr">
        <is>
          <t>S27-52</t>
        </is>
      </c>
    </row>
    <row r="1824">
      <c r="A1824" s="2" t="n">
        <v>46749</v>
      </c>
      <c r="B1824" s="3" t="n">
        <v>2027</v>
      </c>
      <c r="C1824" s="3" t="n">
        <v>12</v>
      </c>
      <c r="D1824" s="3" t="n">
        <v>52</v>
      </c>
      <c r="E1824" s="3" t="inlineStr">
        <is>
          <t>S27-52</t>
        </is>
      </c>
    </row>
    <row r="1825">
      <c r="A1825" s="2" t="n">
        <v>46750</v>
      </c>
      <c r="B1825" s="3" t="n">
        <v>2027</v>
      </c>
      <c r="C1825" s="3" t="n">
        <v>12</v>
      </c>
      <c r="D1825" s="3" t="n">
        <v>52</v>
      </c>
      <c r="E1825" s="3" t="inlineStr">
        <is>
          <t>S27-52</t>
        </is>
      </c>
    </row>
    <row r="1826">
      <c r="A1826" s="2" t="n">
        <v>46751</v>
      </c>
      <c r="B1826" s="3" t="n">
        <v>2027</v>
      </c>
      <c r="C1826" s="3" t="n">
        <v>12</v>
      </c>
      <c r="D1826" s="3" t="n">
        <v>52</v>
      </c>
      <c r="E1826" s="3" t="inlineStr">
        <is>
          <t>S27-52</t>
        </is>
      </c>
    </row>
    <row r="1827">
      <c r="A1827" s="2" t="n">
        <v>46752</v>
      </c>
      <c r="B1827" s="3" t="n">
        <v>2027</v>
      </c>
      <c r="C1827" s="3" t="n">
        <v>12</v>
      </c>
      <c r="D1827" s="3" t="n">
        <v>52</v>
      </c>
      <c r="E1827" s="3" t="inlineStr">
        <is>
          <t>S27-52</t>
        </is>
      </c>
    </row>
    <row r="1828">
      <c r="A1828" s="2" t="n">
        <v>46753</v>
      </c>
      <c r="B1828" s="3" t="n">
        <v>2028</v>
      </c>
      <c r="C1828" s="3" t="n">
        <v>1</v>
      </c>
      <c r="D1828" s="3" t="n">
        <v>52</v>
      </c>
      <c r="E1828" s="3" t="inlineStr">
        <is>
          <t>S27-52</t>
        </is>
      </c>
    </row>
    <row r="1829">
      <c r="A1829" s="2" t="n">
        <v>46754</v>
      </c>
      <c r="B1829" s="3" t="n">
        <v>2028</v>
      </c>
      <c r="C1829" s="3" t="n">
        <v>1</v>
      </c>
      <c r="D1829" s="3" t="n">
        <v>52</v>
      </c>
      <c r="E1829" s="3" t="inlineStr">
        <is>
          <t>S27-52</t>
        </is>
      </c>
    </row>
    <row r="1830">
      <c r="A1830" s="2" t="n">
        <v>46755</v>
      </c>
      <c r="B1830" s="3" t="n">
        <v>2028</v>
      </c>
      <c r="C1830" s="3" t="n">
        <v>1</v>
      </c>
      <c r="D1830" s="3" t="n">
        <v>1</v>
      </c>
      <c r="E1830" s="3" t="inlineStr">
        <is>
          <t>S28-01</t>
        </is>
      </c>
    </row>
    <row r="1831">
      <c r="A1831" s="2" t="n">
        <v>46756</v>
      </c>
      <c r="B1831" s="3" t="n">
        <v>2028</v>
      </c>
      <c r="C1831" s="3" t="n">
        <v>1</v>
      </c>
      <c r="D1831" s="3" t="n">
        <v>1</v>
      </c>
      <c r="E1831" s="3" t="inlineStr">
        <is>
          <t>S28-01</t>
        </is>
      </c>
    </row>
    <row r="1832">
      <c r="A1832" s="2" t="n">
        <v>46757</v>
      </c>
      <c r="B1832" s="3" t="n">
        <v>2028</v>
      </c>
      <c r="C1832" s="3" t="n">
        <v>1</v>
      </c>
      <c r="D1832" s="3" t="n">
        <v>1</v>
      </c>
      <c r="E1832" s="3" t="inlineStr">
        <is>
          <t>S28-01</t>
        </is>
      </c>
    </row>
    <row r="1833">
      <c r="A1833" s="2" t="n">
        <v>46758</v>
      </c>
      <c r="B1833" s="3" t="n">
        <v>2028</v>
      </c>
      <c r="C1833" s="3" t="n">
        <v>1</v>
      </c>
      <c r="D1833" s="3" t="n">
        <v>1</v>
      </c>
      <c r="E1833" s="3" t="inlineStr">
        <is>
          <t>S28-01</t>
        </is>
      </c>
    </row>
    <row r="1834">
      <c r="A1834" s="2" t="n">
        <v>46759</v>
      </c>
      <c r="B1834" s="3" t="n">
        <v>2028</v>
      </c>
      <c r="C1834" s="3" t="n">
        <v>1</v>
      </c>
      <c r="D1834" s="3" t="n">
        <v>1</v>
      </c>
      <c r="E1834" s="3" t="inlineStr">
        <is>
          <t>S28-01</t>
        </is>
      </c>
    </row>
    <row r="1835">
      <c r="A1835" s="2" t="n">
        <v>46760</v>
      </c>
      <c r="B1835" s="3" t="n">
        <v>2028</v>
      </c>
      <c r="C1835" s="3" t="n">
        <v>1</v>
      </c>
      <c r="D1835" s="3" t="n">
        <v>1</v>
      </c>
      <c r="E1835" s="3" t="inlineStr">
        <is>
          <t>S28-01</t>
        </is>
      </c>
    </row>
    <row r="1836">
      <c r="A1836" s="2" t="n">
        <v>46761</v>
      </c>
      <c r="B1836" s="3" t="n">
        <v>2028</v>
      </c>
      <c r="C1836" s="3" t="n">
        <v>1</v>
      </c>
      <c r="D1836" s="3" t="n">
        <v>1</v>
      </c>
      <c r="E1836" s="3" t="inlineStr">
        <is>
          <t>S28-01</t>
        </is>
      </c>
    </row>
    <row r="1837">
      <c r="A1837" s="2" t="n">
        <v>46762</v>
      </c>
      <c r="B1837" s="3" t="n">
        <v>2028</v>
      </c>
      <c r="C1837" s="3" t="n">
        <v>1</v>
      </c>
      <c r="D1837" s="3" t="n">
        <v>2</v>
      </c>
      <c r="E1837" s="3" t="inlineStr">
        <is>
          <t>S28-02</t>
        </is>
      </c>
    </row>
    <row r="1838">
      <c r="A1838" s="2" t="n">
        <v>46763</v>
      </c>
      <c r="B1838" s="3" t="n">
        <v>2028</v>
      </c>
      <c r="C1838" s="3" t="n">
        <v>1</v>
      </c>
      <c r="D1838" s="3" t="n">
        <v>2</v>
      </c>
      <c r="E1838" s="3" t="inlineStr">
        <is>
          <t>S28-02</t>
        </is>
      </c>
    </row>
    <row r="1839">
      <c r="A1839" s="2" t="n">
        <v>46764</v>
      </c>
      <c r="B1839" s="3" t="n">
        <v>2028</v>
      </c>
      <c r="C1839" s="3" t="n">
        <v>1</v>
      </c>
      <c r="D1839" s="3" t="n">
        <v>2</v>
      </c>
      <c r="E1839" s="3" t="inlineStr">
        <is>
          <t>S28-02</t>
        </is>
      </c>
    </row>
    <row r="1840">
      <c r="A1840" s="2" t="n">
        <v>46765</v>
      </c>
      <c r="B1840" s="3" t="n">
        <v>2028</v>
      </c>
      <c r="C1840" s="3" t="n">
        <v>1</v>
      </c>
      <c r="D1840" s="3" t="n">
        <v>2</v>
      </c>
      <c r="E1840" s="3" t="inlineStr">
        <is>
          <t>S28-02</t>
        </is>
      </c>
    </row>
    <row r="1841">
      <c r="A1841" s="2" t="n">
        <v>46766</v>
      </c>
      <c r="B1841" s="3" t="n">
        <v>2028</v>
      </c>
      <c r="C1841" s="3" t="n">
        <v>1</v>
      </c>
      <c r="D1841" s="3" t="n">
        <v>2</v>
      </c>
      <c r="E1841" s="3" t="inlineStr">
        <is>
          <t>S28-02</t>
        </is>
      </c>
    </row>
    <row r="1842">
      <c r="A1842" s="2" t="n">
        <v>46767</v>
      </c>
      <c r="B1842" s="3" t="n">
        <v>2028</v>
      </c>
      <c r="C1842" s="3" t="n">
        <v>1</v>
      </c>
      <c r="D1842" s="3" t="n">
        <v>2</v>
      </c>
      <c r="E1842" s="3" t="inlineStr">
        <is>
          <t>S28-02</t>
        </is>
      </c>
    </row>
    <row r="1843">
      <c r="A1843" s="2" t="n">
        <v>46768</v>
      </c>
      <c r="B1843" s="3" t="n">
        <v>2028</v>
      </c>
      <c r="C1843" s="3" t="n">
        <v>1</v>
      </c>
      <c r="D1843" s="3" t="n">
        <v>2</v>
      </c>
      <c r="E1843" s="3" t="inlineStr">
        <is>
          <t>S28-02</t>
        </is>
      </c>
    </row>
    <row r="1844">
      <c r="A1844" s="2" t="n">
        <v>46769</v>
      </c>
      <c r="B1844" s="3" t="n">
        <v>2028</v>
      </c>
      <c r="C1844" s="3" t="n">
        <v>1</v>
      </c>
      <c r="D1844" s="3" t="n">
        <v>3</v>
      </c>
      <c r="E1844" s="3" t="inlineStr">
        <is>
          <t>S28-03</t>
        </is>
      </c>
    </row>
    <row r="1845">
      <c r="A1845" s="2" t="n">
        <v>46770</v>
      </c>
      <c r="B1845" s="3" t="n">
        <v>2028</v>
      </c>
      <c r="C1845" s="3" t="n">
        <v>1</v>
      </c>
      <c r="D1845" s="3" t="n">
        <v>3</v>
      </c>
      <c r="E1845" s="3" t="inlineStr">
        <is>
          <t>S28-03</t>
        </is>
      </c>
    </row>
    <row r="1846">
      <c r="A1846" s="2" t="n">
        <v>46771</v>
      </c>
      <c r="B1846" s="3" t="n">
        <v>2028</v>
      </c>
      <c r="C1846" s="3" t="n">
        <v>1</v>
      </c>
      <c r="D1846" s="3" t="n">
        <v>3</v>
      </c>
      <c r="E1846" s="3" t="inlineStr">
        <is>
          <t>S28-03</t>
        </is>
      </c>
    </row>
    <row r="1847">
      <c r="A1847" s="2" t="n">
        <v>46772</v>
      </c>
      <c r="B1847" s="3" t="n">
        <v>2028</v>
      </c>
      <c r="C1847" s="3" t="n">
        <v>1</v>
      </c>
      <c r="D1847" s="3" t="n">
        <v>3</v>
      </c>
      <c r="E1847" s="3" t="inlineStr">
        <is>
          <t>S28-03</t>
        </is>
      </c>
    </row>
    <row r="1848">
      <c r="A1848" s="2" t="n">
        <v>46773</v>
      </c>
      <c r="B1848" s="3" t="n">
        <v>2028</v>
      </c>
      <c r="C1848" s="3" t="n">
        <v>1</v>
      </c>
      <c r="D1848" s="3" t="n">
        <v>3</v>
      </c>
      <c r="E1848" s="3" t="inlineStr">
        <is>
          <t>S28-03</t>
        </is>
      </c>
    </row>
    <row r="1849">
      <c r="A1849" s="2" t="n">
        <v>46774</v>
      </c>
      <c r="B1849" s="3" t="n">
        <v>2028</v>
      </c>
      <c r="C1849" s="3" t="n">
        <v>1</v>
      </c>
      <c r="D1849" s="3" t="n">
        <v>3</v>
      </c>
      <c r="E1849" s="3" t="inlineStr">
        <is>
          <t>S28-03</t>
        </is>
      </c>
    </row>
    <row r="1850">
      <c r="A1850" s="2" t="n">
        <v>46775</v>
      </c>
      <c r="B1850" s="3" t="n">
        <v>2028</v>
      </c>
      <c r="C1850" s="3" t="n">
        <v>1</v>
      </c>
      <c r="D1850" s="3" t="n">
        <v>3</v>
      </c>
      <c r="E1850" s="3" t="inlineStr">
        <is>
          <t>S28-03</t>
        </is>
      </c>
    </row>
    <row r="1851">
      <c r="A1851" s="2" t="n">
        <v>46776</v>
      </c>
      <c r="B1851" s="3" t="n">
        <v>2028</v>
      </c>
      <c r="C1851" s="3" t="n">
        <v>1</v>
      </c>
      <c r="D1851" s="3" t="n">
        <v>4</v>
      </c>
      <c r="E1851" s="3" t="inlineStr">
        <is>
          <t>S28-04</t>
        </is>
      </c>
    </row>
    <row r="1852">
      <c r="A1852" s="2" t="n">
        <v>46777</v>
      </c>
      <c r="B1852" s="3" t="n">
        <v>2028</v>
      </c>
      <c r="C1852" s="3" t="n">
        <v>1</v>
      </c>
      <c r="D1852" s="3" t="n">
        <v>4</v>
      </c>
      <c r="E1852" s="3" t="inlineStr">
        <is>
          <t>S28-04</t>
        </is>
      </c>
    </row>
    <row r="1853">
      <c r="A1853" s="2" t="n">
        <v>46778</v>
      </c>
      <c r="B1853" s="3" t="n">
        <v>2028</v>
      </c>
      <c r="C1853" s="3" t="n">
        <v>1</v>
      </c>
      <c r="D1853" s="3" t="n">
        <v>4</v>
      </c>
      <c r="E1853" s="3" t="inlineStr">
        <is>
          <t>S28-04</t>
        </is>
      </c>
    </row>
    <row r="1854">
      <c r="A1854" s="2" t="n">
        <v>46779</v>
      </c>
      <c r="B1854" s="3" t="n">
        <v>2028</v>
      </c>
      <c r="C1854" s="3" t="n">
        <v>1</v>
      </c>
      <c r="D1854" s="3" t="n">
        <v>4</v>
      </c>
      <c r="E1854" s="3" t="inlineStr">
        <is>
          <t>S28-04</t>
        </is>
      </c>
    </row>
    <row r="1855">
      <c r="A1855" s="2" t="n">
        <v>46780</v>
      </c>
      <c r="B1855" s="3" t="n">
        <v>2028</v>
      </c>
      <c r="C1855" s="3" t="n">
        <v>1</v>
      </c>
      <c r="D1855" s="3" t="n">
        <v>4</v>
      </c>
      <c r="E1855" s="3" t="inlineStr">
        <is>
          <t>S28-04</t>
        </is>
      </c>
    </row>
    <row r="1856">
      <c r="A1856" s="2" t="n">
        <v>46781</v>
      </c>
      <c r="B1856" s="3" t="n">
        <v>2028</v>
      </c>
      <c r="C1856" s="3" t="n">
        <v>1</v>
      </c>
      <c r="D1856" s="3" t="n">
        <v>4</v>
      </c>
      <c r="E1856" s="3" t="inlineStr">
        <is>
          <t>S28-04</t>
        </is>
      </c>
    </row>
    <row r="1857">
      <c r="A1857" s="2" t="n">
        <v>46782</v>
      </c>
      <c r="B1857" s="3" t="n">
        <v>2028</v>
      </c>
      <c r="C1857" s="3" t="n">
        <v>1</v>
      </c>
      <c r="D1857" s="3" t="n">
        <v>4</v>
      </c>
      <c r="E1857" s="3" t="inlineStr">
        <is>
          <t>S28-04</t>
        </is>
      </c>
    </row>
    <row r="1858">
      <c r="A1858" s="2" t="n">
        <v>46783</v>
      </c>
      <c r="B1858" s="3" t="n">
        <v>2028</v>
      </c>
      <c r="C1858" s="3" t="n">
        <v>1</v>
      </c>
      <c r="D1858" s="3" t="n">
        <v>5</v>
      </c>
      <c r="E1858" s="3" t="inlineStr">
        <is>
          <t>S28-05</t>
        </is>
      </c>
    </row>
    <row r="1859">
      <c r="A1859" s="2" t="n">
        <v>46784</v>
      </c>
      <c r="B1859" s="3" t="n">
        <v>2028</v>
      </c>
      <c r="C1859" s="3" t="n">
        <v>2</v>
      </c>
      <c r="D1859" s="3" t="n">
        <v>5</v>
      </c>
      <c r="E1859" s="3" t="inlineStr">
        <is>
          <t>S28-05</t>
        </is>
      </c>
    </row>
    <row r="1860">
      <c r="A1860" s="2" t="n">
        <v>46785</v>
      </c>
      <c r="B1860" s="3" t="n">
        <v>2028</v>
      </c>
      <c r="C1860" s="3" t="n">
        <v>2</v>
      </c>
      <c r="D1860" s="3" t="n">
        <v>5</v>
      </c>
      <c r="E1860" s="3" t="inlineStr">
        <is>
          <t>S28-05</t>
        </is>
      </c>
    </row>
    <row r="1861">
      <c r="A1861" s="2" t="n">
        <v>46786</v>
      </c>
      <c r="B1861" s="3" t="n">
        <v>2028</v>
      </c>
      <c r="C1861" s="3" t="n">
        <v>2</v>
      </c>
      <c r="D1861" s="3" t="n">
        <v>5</v>
      </c>
      <c r="E1861" s="3" t="inlineStr">
        <is>
          <t>S28-05</t>
        </is>
      </c>
    </row>
    <row r="1862">
      <c r="A1862" s="2" t="n">
        <v>46787</v>
      </c>
      <c r="B1862" s="3" t="n">
        <v>2028</v>
      </c>
      <c r="C1862" s="3" t="n">
        <v>2</v>
      </c>
      <c r="D1862" s="3" t="n">
        <v>5</v>
      </c>
      <c r="E1862" s="3" t="inlineStr">
        <is>
          <t>S28-05</t>
        </is>
      </c>
    </row>
    <row r="1863">
      <c r="A1863" s="2" t="n">
        <v>46788</v>
      </c>
      <c r="B1863" s="3" t="n">
        <v>2028</v>
      </c>
      <c r="C1863" s="3" t="n">
        <v>2</v>
      </c>
      <c r="D1863" s="3" t="n">
        <v>5</v>
      </c>
      <c r="E1863" s="3" t="inlineStr">
        <is>
          <t>S28-05</t>
        </is>
      </c>
    </row>
    <row r="1864">
      <c r="A1864" s="2" t="n">
        <v>46789</v>
      </c>
      <c r="B1864" s="3" t="n">
        <v>2028</v>
      </c>
      <c r="C1864" s="3" t="n">
        <v>2</v>
      </c>
      <c r="D1864" s="3" t="n">
        <v>5</v>
      </c>
      <c r="E1864" s="3" t="inlineStr">
        <is>
          <t>S28-05</t>
        </is>
      </c>
    </row>
    <row r="1865">
      <c r="A1865" s="2" t="n">
        <v>46790</v>
      </c>
      <c r="B1865" s="3" t="n">
        <v>2028</v>
      </c>
      <c r="C1865" s="3" t="n">
        <v>2</v>
      </c>
      <c r="D1865" s="3" t="n">
        <v>6</v>
      </c>
      <c r="E1865" s="3" t="inlineStr">
        <is>
          <t>S28-06</t>
        </is>
      </c>
    </row>
    <row r="1866">
      <c r="A1866" s="2" t="n">
        <v>46791</v>
      </c>
      <c r="B1866" s="3" t="n">
        <v>2028</v>
      </c>
      <c r="C1866" s="3" t="n">
        <v>2</v>
      </c>
      <c r="D1866" s="3" t="n">
        <v>6</v>
      </c>
      <c r="E1866" s="3" t="inlineStr">
        <is>
          <t>S28-06</t>
        </is>
      </c>
    </row>
    <row r="1867">
      <c r="A1867" s="2" t="n">
        <v>46792</v>
      </c>
      <c r="B1867" s="3" t="n">
        <v>2028</v>
      </c>
      <c r="C1867" s="3" t="n">
        <v>2</v>
      </c>
      <c r="D1867" s="3" t="n">
        <v>6</v>
      </c>
      <c r="E1867" s="3" t="inlineStr">
        <is>
          <t>S28-06</t>
        </is>
      </c>
    </row>
    <row r="1868">
      <c r="A1868" s="2" t="n">
        <v>46793</v>
      </c>
      <c r="B1868" s="3" t="n">
        <v>2028</v>
      </c>
      <c r="C1868" s="3" t="n">
        <v>2</v>
      </c>
      <c r="D1868" s="3" t="n">
        <v>6</v>
      </c>
      <c r="E1868" s="3" t="inlineStr">
        <is>
          <t>S28-06</t>
        </is>
      </c>
    </row>
    <row r="1869">
      <c r="A1869" s="2" t="n">
        <v>46794</v>
      </c>
      <c r="B1869" s="3" t="n">
        <v>2028</v>
      </c>
      <c r="C1869" s="3" t="n">
        <v>2</v>
      </c>
      <c r="D1869" s="3" t="n">
        <v>6</v>
      </c>
      <c r="E1869" s="3" t="inlineStr">
        <is>
          <t>S28-06</t>
        </is>
      </c>
    </row>
    <row r="1870">
      <c r="A1870" s="2" t="n">
        <v>46795</v>
      </c>
      <c r="B1870" s="3" t="n">
        <v>2028</v>
      </c>
      <c r="C1870" s="3" t="n">
        <v>2</v>
      </c>
      <c r="D1870" s="3" t="n">
        <v>6</v>
      </c>
      <c r="E1870" s="3" t="inlineStr">
        <is>
          <t>S28-06</t>
        </is>
      </c>
    </row>
    <row r="1871">
      <c r="A1871" s="2" t="n">
        <v>46796</v>
      </c>
      <c r="B1871" s="3" t="n">
        <v>2028</v>
      </c>
      <c r="C1871" s="3" t="n">
        <v>2</v>
      </c>
      <c r="D1871" s="3" t="n">
        <v>6</v>
      </c>
      <c r="E1871" s="3" t="inlineStr">
        <is>
          <t>S28-06</t>
        </is>
      </c>
    </row>
    <row r="1872">
      <c r="A1872" s="2" t="n">
        <v>46797</v>
      </c>
      <c r="B1872" s="3" t="n">
        <v>2028</v>
      </c>
      <c r="C1872" s="3" t="n">
        <v>2</v>
      </c>
      <c r="D1872" s="3" t="n">
        <v>7</v>
      </c>
      <c r="E1872" s="3" t="inlineStr">
        <is>
          <t>S28-07</t>
        </is>
      </c>
    </row>
    <row r="1873">
      <c r="A1873" s="2" t="n">
        <v>46798</v>
      </c>
      <c r="B1873" s="3" t="n">
        <v>2028</v>
      </c>
      <c r="C1873" s="3" t="n">
        <v>2</v>
      </c>
      <c r="D1873" s="3" t="n">
        <v>7</v>
      </c>
      <c r="E1873" s="3" t="inlineStr">
        <is>
          <t>S28-07</t>
        </is>
      </c>
    </row>
    <row r="1874">
      <c r="A1874" s="2" t="n">
        <v>46799</v>
      </c>
      <c r="B1874" s="3" t="n">
        <v>2028</v>
      </c>
      <c r="C1874" s="3" t="n">
        <v>2</v>
      </c>
      <c r="D1874" s="3" t="n">
        <v>7</v>
      </c>
      <c r="E1874" s="3" t="inlineStr">
        <is>
          <t>S28-07</t>
        </is>
      </c>
    </row>
    <row r="1875">
      <c r="A1875" s="2" t="n">
        <v>46800</v>
      </c>
      <c r="B1875" s="3" t="n">
        <v>2028</v>
      </c>
      <c r="C1875" s="3" t="n">
        <v>2</v>
      </c>
      <c r="D1875" s="3" t="n">
        <v>7</v>
      </c>
      <c r="E1875" s="3" t="inlineStr">
        <is>
          <t>S28-07</t>
        </is>
      </c>
    </row>
    <row r="1876">
      <c r="A1876" s="2" t="n">
        <v>46801</v>
      </c>
      <c r="B1876" s="3" t="n">
        <v>2028</v>
      </c>
      <c r="C1876" s="3" t="n">
        <v>2</v>
      </c>
      <c r="D1876" s="3" t="n">
        <v>7</v>
      </c>
      <c r="E1876" s="3" t="inlineStr">
        <is>
          <t>S28-07</t>
        </is>
      </c>
    </row>
    <row r="1877">
      <c r="A1877" s="2" t="n">
        <v>46802</v>
      </c>
      <c r="B1877" s="3" t="n">
        <v>2028</v>
      </c>
      <c r="C1877" s="3" t="n">
        <v>2</v>
      </c>
      <c r="D1877" s="3" t="n">
        <v>7</v>
      </c>
      <c r="E1877" s="3" t="inlineStr">
        <is>
          <t>S28-07</t>
        </is>
      </c>
    </row>
    <row r="1878">
      <c r="A1878" s="2" t="n">
        <v>46803</v>
      </c>
      <c r="B1878" s="3" t="n">
        <v>2028</v>
      </c>
      <c r="C1878" s="3" t="n">
        <v>2</v>
      </c>
      <c r="D1878" s="3" t="n">
        <v>7</v>
      </c>
      <c r="E1878" s="3" t="inlineStr">
        <is>
          <t>S28-07</t>
        </is>
      </c>
    </row>
    <row r="1879">
      <c r="A1879" s="2" t="n">
        <v>46804</v>
      </c>
      <c r="B1879" s="3" t="n">
        <v>2028</v>
      </c>
      <c r="C1879" s="3" t="n">
        <v>2</v>
      </c>
      <c r="D1879" s="3" t="n">
        <v>8</v>
      </c>
      <c r="E1879" s="3" t="inlineStr">
        <is>
          <t>S28-08</t>
        </is>
      </c>
    </row>
    <row r="1880">
      <c r="A1880" s="2" t="n">
        <v>46805</v>
      </c>
      <c r="B1880" s="3" t="n">
        <v>2028</v>
      </c>
      <c r="C1880" s="3" t="n">
        <v>2</v>
      </c>
      <c r="D1880" s="3" t="n">
        <v>8</v>
      </c>
      <c r="E1880" s="3" t="inlineStr">
        <is>
          <t>S28-08</t>
        </is>
      </c>
    </row>
    <row r="1881">
      <c r="A1881" s="2" t="n">
        <v>46806</v>
      </c>
      <c r="B1881" s="3" t="n">
        <v>2028</v>
      </c>
      <c r="C1881" s="3" t="n">
        <v>2</v>
      </c>
      <c r="D1881" s="3" t="n">
        <v>8</v>
      </c>
      <c r="E1881" s="3" t="inlineStr">
        <is>
          <t>S28-08</t>
        </is>
      </c>
    </row>
    <row r="1882">
      <c r="A1882" s="2" t="n">
        <v>46807</v>
      </c>
      <c r="B1882" s="3" t="n">
        <v>2028</v>
      </c>
      <c r="C1882" s="3" t="n">
        <v>2</v>
      </c>
      <c r="D1882" s="3" t="n">
        <v>8</v>
      </c>
      <c r="E1882" s="3" t="inlineStr">
        <is>
          <t>S28-08</t>
        </is>
      </c>
    </row>
    <row r="1883">
      <c r="A1883" s="2" t="n">
        <v>46808</v>
      </c>
      <c r="B1883" s="3" t="n">
        <v>2028</v>
      </c>
      <c r="C1883" s="3" t="n">
        <v>2</v>
      </c>
      <c r="D1883" s="3" t="n">
        <v>8</v>
      </c>
      <c r="E1883" s="3" t="inlineStr">
        <is>
          <t>S28-08</t>
        </is>
      </c>
    </row>
    <row r="1884">
      <c r="A1884" s="2" t="n">
        <v>46809</v>
      </c>
      <c r="B1884" s="3" t="n">
        <v>2028</v>
      </c>
      <c r="C1884" s="3" t="n">
        <v>2</v>
      </c>
      <c r="D1884" s="3" t="n">
        <v>8</v>
      </c>
      <c r="E1884" s="3" t="inlineStr">
        <is>
          <t>S28-08</t>
        </is>
      </c>
    </row>
    <row r="1885">
      <c r="A1885" s="2" t="n">
        <v>46810</v>
      </c>
      <c r="B1885" s="3" t="n">
        <v>2028</v>
      </c>
      <c r="C1885" s="3" t="n">
        <v>2</v>
      </c>
      <c r="D1885" s="3" t="n">
        <v>8</v>
      </c>
      <c r="E1885" s="3" t="inlineStr">
        <is>
          <t>S28-08</t>
        </is>
      </c>
    </row>
    <row r="1886">
      <c r="A1886" s="2" t="n">
        <v>46811</v>
      </c>
      <c r="B1886" s="3" t="n">
        <v>2028</v>
      </c>
      <c r="C1886" s="3" t="n">
        <v>2</v>
      </c>
      <c r="D1886" s="3" t="n">
        <v>9</v>
      </c>
      <c r="E1886" s="3" t="inlineStr">
        <is>
          <t>S28-09</t>
        </is>
      </c>
    </row>
    <row r="1887">
      <c r="A1887" s="2" t="n">
        <v>46812</v>
      </c>
      <c r="B1887" s="3" t="n">
        <v>2028</v>
      </c>
      <c r="C1887" s="3" t="n">
        <v>2</v>
      </c>
      <c r="D1887" s="3" t="n">
        <v>9</v>
      </c>
      <c r="E1887" s="3" t="inlineStr">
        <is>
          <t>S28-09</t>
        </is>
      </c>
    </row>
    <row r="1888">
      <c r="A1888" s="2" t="n">
        <v>46813</v>
      </c>
      <c r="B1888" s="3" t="n">
        <v>2028</v>
      </c>
      <c r="C1888" s="3" t="n">
        <v>3</v>
      </c>
      <c r="D1888" s="3" t="n">
        <v>9</v>
      </c>
      <c r="E1888" s="3" t="inlineStr">
        <is>
          <t>S28-09</t>
        </is>
      </c>
    </row>
    <row r="1889">
      <c r="A1889" s="2" t="n">
        <v>46814</v>
      </c>
      <c r="B1889" s="3" t="n">
        <v>2028</v>
      </c>
      <c r="C1889" s="3" t="n">
        <v>3</v>
      </c>
      <c r="D1889" s="3" t="n">
        <v>9</v>
      </c>
      <c r="E1889" s="3" t="inlineStr">
        <is>
          <t>S28-09</t>
        </is>
      </c>
    </row>
    <row r="1890">
      <c r="A1890" s="2" t="n">
        <v>46815</v>
      </c>
      <c r="B1890" s="3" t="n">
        <v>2028</v>
      </c>
      <c r="C1890" s="3" t="n">
        <v>3</v>
      </c>
      <c r="D1890" s="3" t="n">
        <v>9</v>
      </c>
      <c r="E1890" s="3" t="inlineStr">
        <is>
          <t>S28-09</t>
        </is>
      </c>
    </row>
    <row r="1891">
      <c r="A1891" s="2" t="n">
        <v>46816</v>
      </c>
      <c r="B1891" s="3" t="n">
        <v>2028</v>
      </c>
      <c r="C1891" s="3" t="n">
        <v>3</v>
      </c>
      <c r="D1891" s="3" t="n">
        <v>9</v>
      </c>
      <c r="E1891" s="3" t="inlineStr">
        <is>
          <t>S28-09</t>
        </is>
      </c>
    </row>
    <row r="1892">
      <c r="A1892" s="2" t="n">
        <v>46817</v>
      </c>
      <c r="B1892" s="3" t="n">
        <v>2028</v>
      </c>
      <c r="C1892" s="3" t="n">
        <v>3</v>
      </c>
      <c r="D1892" s="3" t="n">
        <v>9</v>
      </c>
      <c r="E1892" s="3" t="inlineStr">
        <is>
          <t>S28-09</t>
        </is>
      </c>
    </row>
    <row r="1893">
      <c r="A1893" s="2" t="n">
        <v>46818</v>
      </c>
      <c r="B1893" s="3" t="n">
        <v>2028</v>
      </c>
      <c r="C1893" s="3" t="n">
        <v>3</v>
      </c>
      <c r="D1893" s="3" t="n">
        <v>10</v>
      </c>
      <c r="E1893" s="3" t="inlineStr">
        <is>
          <t>S28-10</t>
        </is>
      </c>
    </row>
    <row r="1894">
      <c r="A1894" s="2" t="n">
        <v>46819</v>
      </c>
      <c r="B1894" s="3" t="n">
        <v>2028</v>
      </c>
      <c r="C1894" s="3" t="n">
        <v>3</v>
      </c>
      <c r="D1894" s="3" t="n">
        <v>10</v>
      </c>
      <c r="E1894" s="3" t="inlineStr">
        <is>
          <t>S28-10</t>
        </is>
      </c>
    </row>
    <row r="1895">
      <c r="A1895" s="2" t="n">
        <v>46820</v>
      </c>
      <c r="B1895" s="3" t="n">
        <v>2028</v>
      </c>
      <c r="C1895" s="3" t="n">
        <v>3</v>
      </c>
      <c r="D1895" s="3" t="n">
        <v>10</v>
      </c>
      <c r="E1895" s="3" t="inlineStr">
        <is>
          <t>S28-10</t>
        </is>
      </c>
    </row>
    <row r="1896">
      <c r="A1896" s="2" t="n">
        <v>46821</v>
      </c>
      <c r="B1896" s="3" t="n">
        <v>2028</v>
      </c>
      <c r="C1896" s="3" t="n">
        <v>3</v>
      </c>
      <c r="D1896" s="3" t="n">
        <v>10</v>
      </c>
      <c r="E1896" s="3" t="inlineStr">
        <is>
          <t>S28-10</t>
        </is>
      </c>
    </row>
    <row r="1897">
      <c r="A1897" s="2" t="n">
        <v>46822</v>
      </c>
      <c r="B1897" s="3" t="n">
        <v>2028</v>
      </c>
      <c r="C1897" s="3" t="n">
        <v>3</v>
      </c>
      <c r="D1897" s="3" t="n">
        <v>10</v>
      </c>
      <c r="E1897" s="3" t="inlineStr">
        <is>
          <t>S28-10</t>
        </is>
      </c>
    </row>
    <row r="1898">
      <c r="A1898" s="2" t="n">
        <v>46823</v>
      </c>
      <c r="B1898" s="3" t="n">
        <v>2028</v>
      </c>
      <c r="C1898" s="3" t="n">
        <v>3</v>
      </c>
      <c r="D1898" s="3" t="n">
        <v>10</v>
      </c>
      <c r="E1898" s="3" t="inlineStr">
        <is>
          <t>S28-10</t>
        </is>
      </c>
    </row>
    <row r="1899">
      <c r="A1899" s="2" t="n">
        <v>46824</v>
      </c>
      <c r="B1899" s="3" t="n">
        <v>2028</v>
      </c>
      <c r="C1899" s="3" t="n">
        <v>3</v>
      </c>
      <c r="D1899" s="3" t="n">
        <v>10</v>
      </c>
      <c r="E1899" s="3" t="inlineStr">
        <is>
          <t>S28-10</t>
        </is>
      </c>
    </row>
    <row r="1900">
      <c r="A1900" s="2" t="n">
        <v>46825</v>
      </c>
      <c r="B1900" s="3" t="n">
        <v>2028</v>
      </c>
      <c r="C1900" s="3" t="n">
        <v>3</v>
      </c>
      <c r="D1900" s="3" t="n">
        <v>11</v>
      </c>
      <c r="E1900" s="3" t="inlineStr">
        <is>
          <t>S28-11</t>
        </is>
      </c>
    </row>
    <row r="1901">
      <c r="A1901" s="2" t="n">
        <v>46826</v>
      </c>
      <c r="B1901" s="3" t="n">
        <v>2028</v>
      </c>
      <c r="C1901" s="3" t="n">
        <v>3</v>
      </c>
      <c r="D1901" s="3" t="n">
        <v>11</v>
      </c>
      <c r="E1901" s="3" t="inlineStr">
        <is>
          <t>S28-11</t>
        </is>
      </c>
    </row>
    <row r="1902">
      <c r="A1902" s="2" t="n">
        <v>46827</v>
      </c>
      <c r="B1902" s="3" t="n">
        <v>2028</v>
      </c>
      <c r="C1902" s="3" t="n">
        <v>3</v>
      </c>
      <c r="D1902" s="3" t="n">
        <v>11</v>
      </c>
      <c r="E1902" s="3" t="inlineStr">
        <is>
          <t>S28-11</t>
        </is>
      </c>
    </row>
    <row r="1903">
      <c r="A1903" s="2" t="n">
        <v>46828</v>
      </c>
      <c r="B1903" s="3" t="n">
        <v>2028</v>
      </c>
      <c r="C1903" s="3" t="n">
        <v>3</v>
      </c>
      <c r="D1903" s="3" t="n">
        <v>11</v>
      </c>
      <c r="E1903" s="3" t="inlineStr">
        <is>
          <t>S28-11</t>
        </is>
      </c>
    </row>
    <row r="1904">
      <c r="A1904" s="2" t="n">
        <v>46829</v>
      </c>
      <c r="B1904" s="3" t="n">
        <v>2028</v>
      </c>
      <c r="C1904" s="3" t="n">
        <v>3</v>
      </c>
      <c r="D1904" s="3" t="n">
        <v>11</v>
      </c>
      <c r="E1904" s="3" t="inlineStr">
        <is>
          <t>S28-11</t>
        </is>
      </c>
    </row>
    <row r="1905">
      <c r="A1905" s="2" t="n">
        <v>46830</v>
      </c>
      <c r="B1905" s="3" t="n">
        <v>2028</v>
      </c>
      <c r="C1905" s="3" t="n">
        <v>3</v>
      </c>
      <c r="D1905" s="3" t="n">
        <v>11</v>
      </c>
      <c r="E1905" s="3" t="inlineStr">
        <is>
          <t>S28-11</t>
        </is>
      </c>
    </row>
    <row r="1906">
      <c r="A1906" s="2" t="n">
        <v>46831</v>
      </c>
      <c r="B1906" s="3" t="n">
        <v>2028</v>
      </c>
      <c r="C1906" s="3" t="n">
        <v>3</v>
      </c>
      <c r="D1906" s="3" t="n">
        <v>11</v>
      </c>
      <c r="E1906" s="3" t="inlineStr">
        <is>
          <t>S28-11</t>
        </is>
      </c>
    </row>
    <row r="1907">
      <c r="A1907" s="2" t="n">
        <v>46832</v>
      </c>
      <c r="B1907" s="3" t="n">
        <v>2028</v>
      </c>
      <c r="C1907" s="3" t="n">
        <v>3</v>
      </c>
      <c r="D1907" s="3" t="n">
        <v>12</v>
      </c>
      <c r="E1907" s="3" t="inlineStr">
        <is>
          <t>S28-12</t>
        </is>
      </c>
    </row>
    <row r="1908">
      <c r="A1908" s="2" t="n">
        <v>46833</v>
      </c>
      <c r="B1908" s="3" t="n">
        <v>2028</v>
      </c>
      <c r="C1908" s="3" t="n">
        <v>3</v>
      </c>
      <c r="D1908" s="3" t="n">
        <v>12</v>
      </c>
      <c r="E1908" s="3" t="inlineStr">
        <is>
          <t>S28-12</t>
        </is>
      </c>
    </row>
    <row r="1909">
      <c r="A1909" s="2" t="n">
        <v>46834</v>
      </c>
      <c r="B1909" s="3" t="n">
        <v>2028</v>
      </c>
      <c r="C1909" s="3" t="n">
        <v>3</v>
      </c>
      <c r="D1909" s="3" t="n">
        <v>12</v>
      </c>
      <c r="E1909" s="3" t="inlineStr">
        <is>
          <t>S28-12</t>
        </is>
      </c>
    </row>
    <row r="1910">
      <c r="A1910" s="2" t="n">
        <v>46835</v>
      </c>
      <c r="B1910" s="3" t="n">
        <v>2028</v>
      </c>
      <c r="C1910" s="3" t="n">
        <v>3</v>
      </c>
      <c r="D1910" s="3" t="n">
        <v>12</v>
      </c>
      <c r="E1910" s="3" t="inlineStr">
        <is>
          <t>S28-12</t>
        </is>
      </c>
    </row>
    <row r="1911">
      <c r="A1911" s="2" t="n">
        <v>46836</v>
      </c>
      <c r="B1911" s="3" t="n">
        <v>2028</v>
      </c>
      <c r="C1911" s="3" t="n">
        <v>3</v>
      </c>
      <c r="D1911" s="3" t="n">
        <v>12</v>
      </c>
      <c r="E1911" s="3" t="inlineStr">
        <is>
          <t>S28-12</t>
        </is>
      </c>
    </row>
    <row r="1912">
      <c r="A1912" s="2" t="n">
        <v>46837</v>
      </c>
      <c r="B1912" s="3" t="n">
        <v>2028</v>
      </c>
      <c r="C1912" s="3" t="n">
        <v>3</v>
      </c>
      <c r="D1912" s="3" t="n">
        <v>12</v>
      </c>
      <c r="E1912" s="3" t="inlineStr">
        <is>
          <t>S28-12</t>
        </is>
      </c>
    </row>
    <row r="1913">
      <c r="A1913" s="2" t="n">
        <v>46838</v>
      </c>
      <c r="B1913" s="3" t="n">
        <v>2028</v>
      </c>
      <c r="C1913" s="3" t="n">
        <v>3</v>
      </c>
      <c r="D1913" s="3" t="n">
        <v>12</v>
      </c>
      <c r="E1913" s="3" t="inlineStr">
        <is>
          <t>S28-12</t>
        </is>
      </c>
    </row>
    <row r="1914">
      <c r="A1914" s="2" t="n">
        <v>46839</v>
      </c>
      <c r="B1914" s="3" t="n">
        <v>2028</v>
      </c>
      <c r="C1914" s="3" t="n">
        <v>3</v>
      </c>
      <c r="D1914" s="3" t="n">
        <v>13</v>
      </c>
      <c r="E1914" s="3" t="inlineStr">
        <is>
          <t>S28-13</t>
        </is>
      </c>
    </row>
    <row r="1915">
      <c r="A1915" s="2" t="n">
        <v>46840</v>
      </c>
      <c r="B1915" s="3" t="n">
        <v>2028</v>
      </c>
      <c r="C1915" s="3" t="n">
        <v>3</v>
      </c>
      <c r="D1915" s="3" t="n">
        <v>13</v>
      </c>
      <c r="E1915" s="3" t="inlineStr">
        <is>
          <t>S28-13</t>
        </is>
      </c>
    </row>
    <row r="1916">
      <c r="A1916" s="2" t="n">
        <v>46841</v>
      </c>
      <c r="B1916" s="3" t="n">
        <v>2028</v>
      </c>
      <c r="C1916" s="3" t="n">
        <v>3</v>
      </c>
      <c r="D1916" s="3" t="n">
        <v>13</v>
      </c>
      <c r="E1916" s="3" t="inlineStr">
        <is>
          <t>S28-13</t>
        </is>
      </c>
    </row>
    <row r="1917">
      <c r="A1917" s="2" t="n">
        <v>46842</v>
      </c>
      <c r="B1917" s="3" t="n">
        <v>2028</v>
      </c>
      <c r="C1917" s="3" t="n">
        <v>3</v>
      </c>
      <c r="D1917" s="3" t="n">
        <v>13</v>
      </c>
      <c r="E1917" s="3" t="inlineStr">
        <is>
          <t>S28-13</t>
        </is>
      </c>
    </row>
    <row r="1918">
      <c r="A1918" s="2" t="n">
        <v>46843</v>
      </c>
      <c r="B1918" s="3" t="n">
        <v>2028</v>
      </c>
      <c r="C1918" s="3" t="n">
        <v>3</v>
      </c>
      <c r="D1918" s="3" t="n">
        <v>13</v>
      </c>
      <c r="E1918" s="3" t="inlineStr">
        <is>
          <t>S28-13</t>
        </is>
      </c>
    </row>
    <row r="1919">
      <c r="A1919" s="2" t="n">
        <v>46844</v>
      </c>
      <c r="B1919" s="3" t="n">
        <v>2028</v>
      </c>
      <c r="C1919" s="3" t="n">
        <v>4</v>
      </c>
      <c r="D1919" s="3" t="n">
        <v>13</v>
      </c>
      <c r="E1919" s="3" t="inlineStr">
        <is>
          <t>S28-13</t>
        </is>
      </c>
    </row>
    <row r="1920">
      <c r="A1920" s="2" t="n">
        <v>46845</v>
      </c>
      <c r="B1920" s="3" t="n">
        <v>2028</v>
      </c>
      <c r="C1920" s="3" t="n">
        <v>4</v>
      </c>
      <c r="D1920" s="3" t="n">
        <v>13</v>
      </c>
      <c r="E1920" s="3" t="inlineStr">
        <is>
          <t>S28-13</t>
        </is>
      </c>
    </row>
    <row r="1921">
      <c r="A1921" s="2" t="n">
        <v>46846</v>
      </c>
      <c r="B1921" s="3" t="n">
        <v>2028</v>
      </c>
      <c r="C1921" s="3" t="n">
        <v>4</v>
      </c>
      <c r="D1921" s="3" t="n">
        <v>14</v>
      </c>
      <c r="E1921" s="3" t="inlineStr">
        <is>
          <t>S28-14</t>
        </is>
      </c>
    </row>
    <row r="1922">
      <c r="A1922" s="2" t="n">
        <v>46847</v>
      </c>
      <c r="B1922" s="3" t="n">
        <v>2028</v>
      </c>
      <c r="C1922" s="3" t="n">
        <v>4</v>
      </c>
      <c r="D1922" s="3" t="n">
        <v>14</v>
      </c>
      <c r="E1922" s="3" t="inlineStr">
        <is>
          <t>S28-14</t>
        </is>
      </c>
    </row>
    <row r="1923">
      <c r="A1923" s="2" t="n">
        <v>46848</v>
      </c>
      <c r="B1923" s="3" t="n">
        <v>2028</v>
      </c>
      <c r="C1923" s="3" t="n">
        <v>4</v>
      </c>
      <c r="D1923" s="3" t="n">
        <v>14</v>
      </c>
      <c r="E1923" s="3" t="inlineStr">
        <is>
          <t>S28-14</t>
        </is>
      </c>
    </row>
    <row r="1924">
      <c r="A1924" s="2" t="n">
        <v>46849</v>
      </c>
      <c r="B1924" s="3" t="n">
        <v>2028</v>
      </c>
      <c r="C1924" s="3" t="n">
        <v>4</v>
      </c>
      <c r="D1924" s="3" t="n">
        <v>14</v>
      </c>
      <c r="E1924" s="3" t="inlineStr">
        <is>
          <t>S28-14</t>
        </is>
      </c>
    </row>
    <row r="1925">
      <c r="A1925" s="2" t="n">
        <v>46850</v>
      </c>
      <c r="B1925" s="3" t="n">
        <v>2028</v>
      </c>
      <c r="C1925" s="3" t="n">
        <v>4</v>
      </c>
      <c r="D1925" s="3" t="n">
        <v>14</v>
      </c>
      <c r="E1925" s="3" t="inlineStr">
        <is>
          <t>S28-14</t>
        </is>
      </c>
    </row>
    <row r="1926">
      <c r="A1926" s="2" t="n">
        <v>46851</v>
      </c>
      <c r="B1926" s="3" t="n">
        <v>2028</v>
      </c>
      <c r="C1926" s="3" t="n">
        <v>4</v>
      </c>
      <c r="D1926" s="3" t="n">
        <v>14</v>
      </c>
      <c r="E1926" s="3" t="inlineStr">
        <is>
          <t>S28-14</t>
        </is>
      </c>
    </row>
    <row r="1927">
      <c r="A1927" s="2" t="n">
        <v>46852</v>
      </c>
      <c r="B1927" s="3" t="n">
        <v>2028</v>
      </c>
      <c r="C1927" s="3" t="n">
        <v>4</v>
      </c>
      <c r="D1927" s="3" t="n">
        <v>14</v>
      </c>
      <c r="E1927" s="3" t="inlineStr">
        <is>
          <t>S28-14</t>
        </is>
      </c>
    </row>
    <row r="1928">
      <c r="A1928" s="2" t="n">
        <v>46853</v>
      </c>
      <c r="B1928" s="3" t="n">
        <v>2028</v>
      </c>
      <c r="C1928" s="3" t="n">
        <v>4</v>
      </c>
      <c r="D1928" s="3" t="n">
        <v>15</v>
      </c>
      <c r="E1928" s="3" t="inlineStr">
        <is>
          <t>S28-15</t>
        </is>
      </c>
    </row>
    <row r="1929">
      <c r="A1929" s="2" t="n">
        <v>46854</v>
      </c>
      <c r="B1929" s="3" t="n">
        <v>2028</v>
      </c>
      <c r="C1929" s="3" t="n">
        <v>4</v>
      </c>
      <c r="D1929" s="3" t="n">
        <v>15</v>
      </c>
      <c r="E1929" s="3" t="inlineStr">
        <is>
          <t>S28-15</t>
        </is>
      </c>
    </row>
    <row r="1930">
      <c r="A1930" s="2" t="n">
        <v>46855</v>
      </c>
      <c r="B1930" s="3" t="n">
        <v>2028</v>
      </c>
      <c r="C1930" s="3" t="n">
        <v>4</v>
      </c>
      <c r="D1930" s="3" t="n">
        <v>15</v>
      </c>
      <c r="E1930" s="3" t="inlineStr">
        <is>
          <t>S28-15</t>
        </is>
      </c>
    </row>
    <row r="1931">
      <c r="A1931" s="2" t="n">
        <v>46856</v>
      </c>
      <c r="B1931" s="3" t="n">
        <v>2028</v>
      </c>
      <c r="C1931" s="3" t="n">
        <v>4</v>
      </c>
      <c r="D1931" s="3" t="n">
        <v>15</v>
      </c>
      <c r="E1931" s="3" t="inlineStr">
        <is>
          <t>S28-15</t>
        </is>
      </c>
    </row>
    <row r="1932">
      <c r="A1932" s="2" t="n">
        <v>46857</v>
      </c>
      <c r="B1932" s="3" t="n">
        <v>2028</v>
      </c>
      <c r="C1932" s="3" t="n">
        <v>4</v>
      </c>
      <c r="D1932" s="3" t="n">
        <v>15</v>
      </c>
      <c r="E1932" s="3" t="inlineStr">
        <is>
          <t>S28-15</t>
        </is>
      </c>
    </row>
    <row r="1933">
      <c r="A1933" s="2" t="n">
        <v>46858</v>
      </c>
      <c r="B1933" s="3" t="n">
        <v>2028</v>
      </c>
      <c r="C1933" s="3" t="n">
        <v>4</v>
      </c>
      <c r="D1933" s="3" t="n">
        <v>15</v>
      </c>
      <c r="E1933" s="3" t="inlineStr">
        <is>
          <t>S28-15</t>
        </is>
      </c>
    </row>
    <row r="1934">
      <c r="A1934" s="2" t="n">
        <v>46859</v>
      </c>
      <c r="B1934" s="3" t="n">
        <v>2028</v>
      </c>
      <c r="C1934" s="3" t="n">
        <v>4</v>
      </c>
      <c r="D1934" s="3" t="n">
        <v>15</v>
      </c>
      <c r="E1934" s="3" t="inlineStr">
        <is>
          <t>S28-15</t>
        </is>
      </c>
    </row>
    <row r="1935">
      <c r="A1935" s="2" t="n">
        <v>46860</v>
      </c>
      <c r="B1935" s="3" t="n">
        <v>2028</v>
      </c>
      <c r="C1935" s="3" t="n">
        <v>4</v>
      </c>
      <c r="D1935" s="3" t="n">
        <v>16</v>
      </c>
      <c r="E1935" s="3" t="inlineStr">
        <is>
          <t>S28-16</t>
        </is>
      </c>
    </row>
    <row r="1936">
      <c r="A1936" s="2" t="n">
        <v>46861</v>
      </c>
      <c r="B1936" s="3" t="n">
        <v>2028</v>
      </c>
      <c r="C1936" s="3" t="n">
        <v>4</v>
      </c>
      <c r="D1936" s="3" t="n">
        <v>16</v>
      </c>
      <c r="E1936" s="3" t="inlineStr">
        <is>
          <t>S28-16</t>
        </is>
      </c>
    </row>
    <row r="1937">
      <c r="A1937" s="2" t="n">
        <v>46862</v>
      </c>
      <c r="B1937" s="3" t="n">
        <v>2028</v>
      </c>
      <c r="C1937" s="3" t="n">
        <v>4</v>
      </c>
      <c r="D1937" s="3" t="n">
        <v>16</v>
      </c>
      <c r="E1937" s="3" t="inlineStr">
        <is>
          <t>S28-16</t>
        </is>
      </c>
    </row>
    <row r="1938">
      <c r="A1938" s="2" t="n">
        <v>46863</v>
      </c>
      <c r="B1938" s="3" t="n">
        <v>2028</v>
      </c>
      <c r="C1938" s="3" t="n">
        <v>4</v>
      </c>
      <c r="D1938" s="3" t="n">
        <v>16</v>
      </c>
      <c r="E1938" s="3" t="inlineStr">
        <is>
          <t>S28-16</t>
        </is>
      </c>
    </row>
    <row r="1939">
      <c r="A1939" s="2" t="n">
        <v>46864</v>
      </c>
      <c r="B1939" s="3" t="n">
        <v>2028</v>
      </c>
      <c r="C1939" s="3" t="n">
        <v>4</v>
      </c>
      <c r="D1939" s="3" t="n">
        <v>16</v>
      </c>
      <c r="E1939" s="3" t="inlineStr">
        <is>
          <t>S28-16</t>
        </is>
      </c>
    </row>
    <row r="1940">
      <c r="A1940" s="2" t="n">
        <v>46865</v>
      </c>
      <c r="B1940" s="3" t="n">
        <v>2028</v>
      </c>
      <c r="C1940" s="3" t="n">
        <v>4</v>
      </c>
      <c r="D1940" s="3" t="n">
        <v>16</v>
      </c>
      <c r="E1940" s="3" t="inlineStr">
        <is>
          <t>S28-16</t>
        </is>
      </c>
    </row>
    <row r="1941">
      <c r="A1941" s="2" t="n">
        <v>46866</v>
      </c>
      <c r="B1941" s="3" t="n">
        <v>2028</v>
      </c>
      <c r="C1941" s="3" t="n">
        <v>4</v>
      </c>
      <c r="D1941" s="3" t="n">
        <v>16</v>
      </c>
      <c r="E1941" s="3" t="inlineStr">
        <is>
          <t>S28-16</t>
        </is>
      </c>
    </row>
    <row r="1942">
      <c r="A1942" s="2" t="n">
        <v>46867</v>
      </c>
      <c r="B1942" s="3" t="n">
        <v>2028</v>
      </c>
      <c r="C1942" s="3" t="n">
        <v>4</v>
      </c>
      <c r="D1942" s="3" t="n">
        <v>17</v>
      </c>
      <c r="E1942" s="3" t="inlineStr">
        <is>
          <t>S28-17</t>
        </is>
      </c>
    </row>
    <row r="1943">
      <c r="A1943" s="2" t="n">
        <v>46868</v>
      </c>
      <c r="B1943" s="3" t="n">
        <v>2028</v>
      </c>
      <c r="C1943" s="3" t="n">
        <v>4</v>
      </c>
      <c r="D1943" s="3" t="n">
        <v>17</v>
      </c>
      <c r="E1943" s="3" t="inlineStr">
        <is>
          <t>S28-17</t>
        </is>
      </c>
    </row>
    <row r="1944">
      <c r="A1944" s="2" t="n">
        <v>46869</v>
      </c>
      <c r="B1944" s="3" t="n">
        <v>2028</v>
      </c>
      <c r="C1944" s="3" t="n">
        <v>4</v>
      </c>
      <c r="D1944" s="3" t="n">
        <v>17</v>
      </c>
      <c r="E1944" s="3" t="inlineStr">
        <is>
          <t>S28-17</t>
        </is>
      </c>
    </row>
    <row r="1945">
      <c r="A1945" s="2" t="n">
        <v>46870</v>
      </c>
      <c r="B1945" s="3" t="n">
        <v>2028</v>
      </c>
      <c r="C1945" s="3" t="n">
        <v>4</v>
      </c>
      <c r="D1945" s="3" t="n">
        <v>17</v>
      </c>
      <c r="E1945" s="3" t="inlineStr">
        <is>
          <t>S28-17</t>
        </is>
      </c>
    </row>
    <row r="1946">
      <c r="A1946" s="2" t="n">
        <v>46871</v>
      </c>
      <c r="B1946" s="3" t="n">
        <v>2028</v>
      </c>
      <c r="C1946" s="3" t="n">
        <v>4</v>
      </c>
      <c r="D1946" s="3" t="n">
        <v>17</v>
      </c>
      <c r="E1946" s="3" t="inlineStr">
        <is>
          <t>S28-17</t>
        </is>
      </c>
    </row>
    <row r="1947">
      <c r="A1947" s="2" t="n">
        <v>46872</v>
      </c>
      <c r="B1947" s="3" t="n">
        <v>2028</v>
      </c>
      <c r="C1947" s="3" t="n">
        <v>4</v>
      </c>
      <c r="D1947" s="3" t="n">
        <v>17</v>
      </c>
      <c r="E1947" s="3" t="inlineStr">
        <is>
          <t>S28-17</t>
        </is>
      </c>
    </row>
    <row r="1948">
      <c r="A1948" s="2" t="n">
        <v>46873</v>
      </c>
      <c r="B1948" s="3" t="n">
        <v>2028</v>
      </c>
      <c r="C1948" s="3" t="n">
        <v>4</v>
      </c>
      <c r="D1948" s="3" t="n">
        <v>17</v>
      </c>
      <c r="E1948" s="3" t="inlineStr">
        <is>
          <t>S28-17</t>
        </is>
      </c>
    </row>
    <row r="1949">
      <c r="A1949" s="2" t="n">
        <v>46874</v>
      </c>
      <c r="B1949" s="3" t="n">
        <v>2028</v>
      </c>
      <c r="C1949" s="3" t="n">
        <v>5</v>
      </c>
      <c r="D1949" s="3" t="n">
        <v>18</v>
      </c>
      <c r="E1949" s="3" t="inlineStr">
        <is>
          <t>S28-18</t>
        </is>
      </c>
    </row>
    <row r="1950">
      <c r="A1950" s="2" t="n">
        <v>46875</v>
      </c>
      <c r="B1950" s="3" t="n">
        <v>2028</v>
      </c>
      <c r="C1950" s="3" t="n">
        <v>5</v>
      </c>
      <c r="D1950" s="3" t="n">
        <v>18</v>
      </c>
      <c r="E1950" s="3" t="inlineStr">
        <is>
          <t>S28-18</t>
        </is>
      </c>
    </row>
    <row r="1951">
      <c r="A1951" s="2" t="n">
        <v>46876</v>
      </c>
      <c r="B1951" s="3" t="n">
        <v>2028</v>
      </c>
      <c r="C1951" s="3" t="n">
        <v>5</v>
      </c>
      <c r="D1951" s="3" t="n">
        <v>18</v>
      </c>
      <c r="E1951" s="3" t="inlineStr">
        <is>
          <t>S28-18</t>
        </is>
      </c>
    </row>
    <row r="1952">
      <c r="A1952" s="2" t="n">
        <v>46877</v>
      </c>
      <c r="B1952" s="3" t="n">
        <v>2028</v>
      </c>
      <c r="C1952" s="3" t="n">
        <v>5</v>
      </c>
      <c r="D1952" s="3" t="n">
        <v>18</v>
      </c>
      <c r="E1952" s="3" t="inlineStr">
        <is>
          <t>S28-18</t>
        </is>
      </c>
    </row>
    <row r="1953">
      <c r="A1953" s="2" t="n">
        <v>46878</v>
      </c>
      <c r="B1953" s="3" t="n">
        <v>2028</v>
      </c>
      <c r="C1953" s="3" t="n">
        <v>5</v>
      </c>
      <c r="D1953" s="3" t="n">
        <v>18</v>
      </c>
      <c r="E1953" s="3" t="inlineStr">
        <is>
          <t>S28-18</t>
        </is>
      </c>
    </row>
    <row r="1954">
      <c r="A1954" s="2" t="n">
        <v>46879</v>
      </c>
      <c r="B1954" s="3" t="n">
        <v>2028</v>
      </c>
      <c r="C1954" s="3" t="n">
        <v>5</v>
      </c>
      <c r="D1954" s="3" t="n">
        <v>18</v>
      </c>
      <c r="E1954" s="3" t="inlineStr">
        <is>
          <t>S28-18</t>
        </is>
      </c>
    </row>
    <row r="1955">
      <c r="A1955" s="2" t="n">
        <v>46880</v>
      </c>
      <c r="B1955" s="3" t="n">
        <v>2028</v>
      </c>
      <c r="C1955" s="3" t="n">
        <v>5</v>
      </c>
      <c r="D1955" s="3" t="n">
        <v>18</v>
      </c>
      <c r="E1955" s="3" t="inlineStr">
        <is>
          <t>S28-18</t>
        </is>
      </c>
    </row>
    <row r="1956">
      <c r="A1956" s="2" t="n">
        <v>46881</v>
      </c>
      <c r="B1956" s="3" t="n">
        <v>2028</v>
      </c>
      <c r="C1956" s="3" t="n">
        <v>5</v>
      </c>
      <c r="D1956" s="3" t="n">
        <v>19</v>
      </c>
      <c r="E1956" s="3" t="inlineStr">
        <is>
          <t>S28-19</t>
        </is>
      </c>
    </row>
    <row r="1957">
      <c r="A1957" s="2" t="n">
        <v>46882</v>
      </c>
      <c r="B1957" s="3" t="n">
        <v>2028</v>
      </c>
      <c r="C1957" s="3" t="n">
        <v>5</v>
      </c>
      <c r="D1957" s="3" t="n">
        <v>19</v>
      </c>
      <c r="E1957" s="3" t="inlineStr">
        <is>
          <t>S28-19</t>
        </is>
      </c>
    </row>
    <row r="1958">
      <c r="A1958" s="2" t="n">
        <v>46883</v>
      </c>
      <c r="B1958" s="3" t="n">
        <v>2028</v>
      </c>
      <c r="C1958" s="3" t="n">
        <v>5</v>
      </c>
      <c r="D1958" s="3" t="n">
        <v>19</v>
      </c>
      <c r="E1958" s="3" t="inlineStr">
        <is>
          <t>S28-19</t>
        </is>
      </c>
    </row>
    <row r="1959">
      <c r="A1959" s="2" t="n">
        <v>46884</v>
      </c>
      <c r="B1959" s="3" t="n">
        <v>2028</v>
      </c>
      <c r="C1959" s="3" t="n">
        <v>5</v>
      </c>
      <c r="D1959" s="3" t="n">
        <v>19</v>
      </c>
      <c r="E1959" s="3" t="inlineStr">
        <is>
          <t>S28-19</t>
        </is>
      </c>
    </row>
    <row r="1960">
      <c r="A1960" s="2" t="n">
        <v>46885</v>
      </c>
      <c r="B1960" s="3" t="n">
        <v>2028</v>
      </c>
      <c r="C1960" s="3" t="n">
        <v>5</v>
      </c>
      <c r="D1960" s="3" t="n">
        <v>19</v>
      </c>
      <c r="E1960" s="3" t="inlineStr">
        <is>
          <t>S28-19</t>
        </is>
      </c>
    </row>
    <row r="1961">
      <c r="A1961" s="2" t="n">
        <v>46886</v>
      </c>
      <c r="B1961" s="3" t="n">
        <v>2028</v>
      </c>
      <c r="C1961" s="3" t="n">
        <v>5</v>
      </c>
      <c r="D1961" s="3" t="n">
        <v>19</v>
      </c>
      <c r="E1961" s="3" t="inlineStr">
        <is>
          <t>S28-19</t>
        </is>
      </c>
    </row>
    <row r="1962">
      <c r="A1962" s="2" t="n">
        <v>46887</v>
      </c>
      <c r="B1962" s="3" t="n">
        <v>2028</v>
      </c>
      <c r="C1962" s="3" t="n">
        <v>5</v>
      </c>
      <c r="D1962" s="3" t="n">
        <v>19</v>
      </c>
      <c r="E1962" s="3" t="inlineStr">
        <is>
          <t>S28-19</t>
        </is>
      </c>
    </row>
    <row r="1963">
      <c r="A1963" s="2" t="n">
        <v>46888</v>
      </c>
      <c r="B1963" s="3" t="n">
        <v>2028</v>
      </c>
      <c r="C1963" s="3" t="n">
        <v>5</v>
      </c>
      <c r="D1963" s="3" t="n">
        <v>20</v>
      </c>
      <c r="E1963" s="3" t="inlineStr">
        <is>
          <t>S28-20</t>
        </is>
      </c>
    </row>
    <row r="1964">
      <c r="A1964" s="2" t="n">
        <v>46889</v>
      </c>
      <c r="B1964" s="3" t="n">
        <v>2028</v>
      </c>
      <c r="C1964" s="3" t="n">
        <v>5</v>
      </c>
      <c r="D1964" s="3" t="n">
        <v>20</v>
      </c>
      <c r="E1964" s="3" t="inlineStr">
        <is>
          <t>S28-20</t>
        </is>
      </c>
    </row>
    <row r="1965">
      <c r="A1965" s="2" t="n">
        <v>46890</v>
      </c>
      <c r="B1965" s="3" t="n">
        <v>2028</v>
      </c>
      <c r="C1965" s="3" t="n">
        <v>5</v>
      </c>
      <c r="D1965" s="3" t="n">
        <v>20</v>
      </c>
      <c r="E1965" s="3" t="inlineStr">
        <is>
          <t>S28-20</t>
        </is>
      </c>
    </row>
    <row r="1966">
      <c r="A1966" s="2" t="n">
        <v>46891</v>
      </c>
      <c r="B1966" s="3" t="n">
        <v>2028</v>
      </c>
      <c r="C1966" s="3" t="n">
        <v>5</v>
      </c>
      <c r="D1966" s="3" t="n">
        <v>20</v>
      </c>
      <c r="E1966" s="3" t="inlineStr">
        <is>
          <t>S28-20</t>
        </is>
      </c>
    </row>
    <row r="1967">
      <c r="A1967" s="2" t="n">
        <v>46892</v>
      </c>
      <c r="B1967" s="3" t="n">
        <v>2028</v>
      </c>
      <c r="C1967" s="3" t="n">
        <v>5</v>
      </c>
      <c r="D1967" s="3" t="n">
        <v>20</v>
      </c>
      <c r="E1967" s="3" t="inlineStr">
        <is>
          <t>S28-20</t>
        </is>
      </c>
    </row>
    <row r="1968">
      <c r="A1968" s="2" t="n">
        <v>46893</v>
      </c>
      <c r="B1968" s="3" t="n">
        <v>2028</v>
      </c>
      <c r="C1968" s="3" t="n">
        <v>5</v>
      </c>
      <c r="D1968" s="3" t="n">
        <v>20</v>
      </c>
      <c r="E1968" s="3" t="inlineStr">
        <is>
          <t>S28-20</t>
        </is>
      </c>
    </row>
    <row r="1969">
      <c r="A1969" s="2" t="n">
        <v>46894</v>
      </c>
      <c r="B1969" s="3" t="n">
        <v>2028</v>
      </c>
      <c r="C1969" s="3" t="n">
        <v>5</v>
      </c>
      <c r="D1969" s="3" t="n">
        <v>20</v>
      </c>
      <c r="E1969" s="3" t="inlineStr">
        <is>
          <t>S28-20</t>
        </is>
      </c>
    </row>
    <row r="1970">
      <c r="A1970" s="2" t="n">
        <v>46895</v>
      </c>
      <c r="B1970" s="3" t="n">
        <v>2028</v>
      </c>
      <c r="C1970" s="3" t="n">
        <v>5</v>
      </c>
      <c r="D1970" s="3" t="n">
        <v>21</v>
      </c>
      <c r="E1970" s="3" t="inlineStr">
        <is>
          <t>S28-21</t>
        </is>
      </c>
    </row>
    <row r="1971">
      <c r="A1971" s="2" t="n">
        <v>46896</v>
      </c>
      <c r="B1971" s="3" t="n">
        <v>2028</v>
      </c>
      <c r="C1971" s="3" t="n">
        <v>5</v>
      </c>
      <c r="D1971" s="3" t="n">
        <v>21</v>
      </c>
      <c r="E1971" s="3" t="inlineStr">
        <is>
          <t>S28-21</t>
        </is>
      </c>
    </row>
    <row r="1972">
      <c r="A1972" s="2" t="n">
        <v>46897</v>
      </c>
      <c r="B1972" s="3" t="n">
        <v>2028</v>
      </c>
      <c r="C1972" s="3" t="n">
        <v>5</v>
      </c>
      <c r="D1972" s="3" t="n">
        <v>21</v>
      </c>
      <c r="E1972" s="3" t="inlineStr">
        <is>
          <t>S28-21</t>
        </is>
      </c>
    </row>
    <row r="1973">
      <c r="A1973" s="2" t="n">
        <v>46898</v>
      </c>
      <c r="B1973" s="3" t="n">
        <v>2028</v>
      </c>
      <c r="C1973" s="3" t="n">
        <v>5</v>
      </c>
      <c r="D1973" s="3" t="n">
        <v>21</v>
      </c>
      <c r="E1973" s="3" t="inlineStr">
        <is>
          <t>S28-21</t>
        </is>
      </c>
    </row>
    <row r="1974">
      <c r="A1974" s="2" t="n">
        <v>46899</v>
      </c>
      <c r="B1974" s="3" t="n">
        <v>2028</v>
      </c>
      <c r="C1974" s="3" t="n">
        <v>5</v>
      </c>
      <c r="D1974" s="3" t="n">
        <v>21</v>
      </c>
      <c r="E1974" s="3" t="inlineStr">
        <is>
          <t>S28-21</t>
        </is>
      </c>
    </row>
    <row r="1975">
      <c r="A1975" s="2" t="n">
        <v>46900</v>
      </c>
      <c r="B1975" s="3" t="n">
        <v>2028</v>
      </c>
      <c r="C1975" s="3" t="n">
        <v>5</v>
      </c>
      <c r="D1975" s="3" t="n">
        <v>21</v>
      </c>
      <c r="E1975" s="3" t="inlineStr">
        <is>
          <t>S28-21</t>
        </is>
      </c>
    </row>
    <row r="1976">
      <c r="A1976" s="2" t="n">
        <v>46901</v>
      </c>
      <c r="B1976" s="3" t="n">
        <v>2028</v>
      </c>
      <c r="C1976" s="3" t="n">
        <v>5</v>
      </c>
      <c r="D1976" s="3" t="n">
        <v>21</v>
      </c>
      <c r="E1976" s="3" t="inlineStr">
        <is>
          <t>S28-21</t>
        </is>
      </c>
    </row>
    <row r="1977">
      <c r="A1977" s="2" t="n">
        <v>46902</v>
      </c>
      <c r="B1977" s="3" t="n">
        <v>2028</v>
      </c>
      <c r="C1977" s="3" t="n">
        <v>5</v>
      </c>
      <c r="D1977" s="3" t="n">
        <v>22</v>
      </c>
      <c r="E1977" s="3" t="inlineStr">
        <is>
          <t>S28-22</t>
        </is>
      </c>
    </row>
    <row r="1978">
      <c r="A1978" s="2" t="n">
        <v>46903</v>
      </c>
      <c r="B1978" s="3" t="n">
        <v>2028</v>
      </c>
      <c r="C1978" s="3" t="n">
        <v>5</v>
      </c>
      <c r="D1978" s="3" t="n">
        <v>22</v>
      </c>
      <c r="E1978" s="3" t="inlineStr">
        <is>
          <t>S28-22</t>
        </is>
      </c>
    </row>
    <row r="1979">
      <c r="A1979" s="2" t="n">
        <v>46904</v>
      </c>
      <c r="B1979" s="3" t="n">
        <v>2028</v>
      </c>
      <c r="C1979" s="3" t="n">
        <v>5</v>
      </c>
      <c r="D1979" s="3" t="n">
        <v>22</v>
      </c>
      <c r="E1979" s="3" t="inlineStr">
        <is>
          <t>S28-22</t>
        </is>
      </c>
    </row>
    <row r="1980">
      <c r="A1980" s="2" t="n">
        <v>46905</v>
      </c>
      <c r="B1980" s="3" t="n">
        <v>2028</v>
      </c>
      <c r="C1980" s="3" t="n">
        <v>6</v>
      </c>
      <c r="D1980" s="3" t="n">
        <v>22</v>
      </c>
      <c r="E1980" s="3" t="inlineStr">
        <is>
          <t>S28-22</t>
        </is>
      </c>
    </row>
    <row r="1981">
      <c r="A1981" s="2" t="n">
        <v>46906</v>
      </c>
      <c r="B1981" s="3" t="n">
        <v>2028</v>
      </c>
      <c r="C1981" s="3" t="n">
        <v>6</v>
      </c>
      <c r="D1981" s="3" t="n">
        <v>22</v>
      </c>
      <c r="E1981" s="3" t="inlineStr">
        <is>
          <t>S28-22</t>
        </is>
      </c>
    </row>
    <row r="1982">
      <c r="A1982" s="2" t="n">
        <v>46907</v>
      </c>
      <c r="B1982" s="3" t="n">
        <v>2028</v>
      </c>
      <c r="C1982" s="3" t="n">
        <v>6</v>
      </c>
      <c r="D1982" s="3" t="n">
        <v>22</v>
      </c>
      <c r="E1982" s="3" t="inlineStr">
        <is>
          <t>S28-22</t>
        </is>
      </c>
    </row>
    <row r="1983">
      <c r="A1983" s="2" t="n">
        <v>46908</v>
      </c>
      <c r="B1983" s="3" t="n">
        <v>2028</v>
      </c>
      <c r="C1983" s="3" t="n">
        <v>6</v>
      </c>
      <c r="D1983" s="3" t="n">
        <v>22</v>
      </c>
      <c r="E1983" s="3" t="inlineStr">
        <is>
          <t>S28-22</t>
        </is>
      </c>
    </row>
    <row r="1984">
      <c r="A1984" s="2" t="n">
        <v>46909</v>
      </c>
      <c r="B1984" s="3" t="n">
        <v>2028</v>
      </c>
      <c r="C1984" s="3" t="n">
        <v>6</v>
      </c>
      <c r="D1984" s="3" t="n">
        <v>23</v>
      </c>
      <c r="E1984" s="3" t="inlineStr">
        <is>
          <t>S28-23</t>
        </is>
      </c>
    </row>
    <row r="1985">
      <c r="A1985" s="2" t="n">
        <v>46910</v>
      </c>
      <c r="B1985" s="3" t="n">
        <v>2028</v>
      </c>
      <c r="C1985" s="3" t="n">
        <v>6</v>
      </c>
      <c r="D1985" s="3" t="n">
        <v>23</v>
      </c>
      <c r="E1985" s="3" t="inlineStr">
        <is>
          <t>S28-23</t>
        </is>
      </c>
    </row>
    <row r="1986">
      <c r="A1986" s="2" t="n">
        <v>46911</v>
      </c>
      <c r="B1986" s="3" t="n">
        <v>2028</v>
      </c>
      <c r="C1986" s="3" t="n">
        <v>6</v>
      </c>
      <c r="D1986" s="3" t="n">
        <v>23</v>
      </c>
      <c r="E1986" s="3" t="inlineStr">
        <is>
          <t>S28-23</t>
        </is>
      </c>
    </row>
    <row r="1987">
      <c r="A1987" s="2" t="n">
        <v>46912</v>
      </c>
      <c r="B1987" s="3" t="n">
        <v>2028</v>
      </c>
      <c r="C1987" s="3" t="n">
        <v>6</v>
      </c>
      <c r="D1987" s="3" t="n">
        <v>23</v>
      </c>
      <c r="E1987" s="3" t="inlineStr">
        <is>
          <t>S28-23</t>
        </is>
      </c>
    </row>
    <row r="1988">
      <c r="A1988" s="2" t="n">
        <v>46913</v>
      </c>
      <c r="B1988" s="3" t="n">
        <v>2028</v>
      </c>
      <c r="C1988" s="3" t="n">
        <v>6</v>
      </c>
      <c r="D1988" s="3" t="n">
        <v>23</v>
      </c>
      <c r="E1988" s="3" t="inlineStr">
        <is>
          <t>S28-23</t>
        </is>
      </c>
    </row>
    <row r="1989">
      <c r="A1989" s="2" t="n">
        <v>46914</v>
      </c>
      <c r="B1989" s="3" t="n">
        <v>2028</v>
      </c>
      <c r="C1989" s="3" t="n">
        <v>6</v>
      </c>
      <c r="D1989" s="3" t="n">
        <v>23</v>
      </c>
      <c r="E1989" s="3" t="inlineStr">
        <is>
          <t>S28-23</t>
        </is>
      </c>
    </row>
    <row r="1990">
      <c r="A1990" s="2" t="n">
        <v>46915</v>
      </c>
      <c r="B1990" s="3" t="n">
        <v>2028</v>
      </c>
      <c r="C1990" s="3" t="n">
        <v>6</v>
      </c>
      <c r="D1990" s="3" t="n">
        <v>23</v>
      </c>
      <c r="E1990" s="3" t="inlineStr">
        <is>
          <t>S28-23</t>
        </is>
      </c>
    </row>
    <row r="1991">
      <c r="A1991" s="2" t="n">
        <v>46916</v>
      </c>
      <c r="B1991" s="3" t="n">
        <v>2028</v>
      </c>
      <c r="C1991" s="3" t="n">
        <v>6</v>
      </c>
      <c r="D1991" s="3" t="n">
        <v>24</v>
      </c>
      <c r="E1991" s="3" t="inlineStr">
        <is>
          <t>S28-24</t>
        </is>
      </c>
    </row>
    <row r="1992">
      <c r="A1992" s="2" t="n">
        <v>46917</v>
      </c>
      <c r="B1992" s="3" t="n">
        <v>2028</v>
      </c>
      <c r="C1992" s="3" t="n">
        <v>6</v>
      </c>
      <c r="D1992" s="3" t="n">
        <v>24</v>
      </c>
      <c r="E1992" s="3" t="inlineStr">
        <is>
          <t>S28-24</t>
        </is>
      </c>
    </row>
    <row r="1993">
      <c r="A1993" s="2" t="n">
        <v>46918</v>
      </c>
      <c r="B1993" s="3" t="n">
        <v>2028</v>
      </c>
      <c r="C1993" s="3" t="n">
        <v>6</v>
      </c>
      <c r="D1993" s="3" t="n">
        <v>24</v>
      </c>
      <c r="E1993" s="3" t="inlineStr">
        <is>
          <t>S28-24</t>
        </is>
      </c>
    </row>
    <row r="1994">
      <c r="A1994" s="2" t="n">
        <v>46919</v>
      </c>
      <c r="B1994" s="3" t="n">
        <v>2028</v>
      </c>
      <c r="C1994" s="3" t="n">
        <v>6</v>
      </c>
      <c r="D1994" s="3" t="n">
        <v>24</v>
      </c>
      <c r="E1994" s="3" t="inlineStr">
        <is>
          <t>S28-24</t>
        </is>
      </c>
    </row>
    <row r="1995">
      <c r="A1995" s="2" t="n">
        <v>46920</v>
      </c>
      <c r="B1995" s="3" t="n">
        <v>2028</v>
      </c>
      <c r="C1995" s="3" t="n">
        <v>6</v>
      </c>
      <c r="D1995" s="3" t="n">
        <v>24</v>
      </c>
      <c r="E1995" s="3" t="inlineStr">
        <is>
          <t>S28-24</t>
        </is>
      </c>
    </row>
    <row r="1996">
      <c r="A1996" s="2" t="n">
        <v>46921</v>
      </c>
      <c r="B1996" s="3" t="n">
        <v>2028</v>
      </c>
      <c r="C1996" s="3" t="n">
        <v>6</v>
      </c>
      <c r="D1996" s="3" t="n">
        <v>24</v>
      </c>
      <c r="E1996" s="3" t="inlineStr">
        <is>
          <t>S28-24</t>
        </is>
      </c>
    </row>
    <row r="1997">
      <c r="A1997" s="2" t="n">
        <v>46922</v>
      </c>
      <c r="B1997" s="3" t="n">
        <v>2028</v>
      </c>
      <c r="C1997" s="3" t="n">
        <v>6</v>
      </c>
      <c r="D1997" s="3" t="n">
        <v>24</v>
      </c>
      <c r="E1997" s="3" t="inlineStr">
        <is>
          <t>S28-24</t>
        </is>
      </c>
    </row>
    <row r="1998">
      <c r="A1998" s="2" t="n">
        <v>46923</v>
      </c>
      <c r="B1998" s="3" t="n">
        <v>2028</v>
      </c>
      <c r="C1998" s="3" t="n">
        <v>6</v>
      </c>
      <c r="D1998" s="3" t="n">
        <v>25</v>
      </c>
      <c r="E1998" s="3" t="inlineStr">
        <is>
          <t>S28-25</t>
        </is>
      </c>
    </row>
    <row r="1999">
      <c r="A1999" s="2" t="n">
        <v>46924</v>
      </c>
      <c r="B1999" s="3" t="n">
        <v>2028</v>
      </c>
      <c r="C1999" s="3" t="n">
        <v>6</v>
      </c>
      <c r="D1999" s="3" t="n">
        <v>25</v>
      </c>
      <c r="E1999" s="3" t="inlineStr">
        <is>
          <t>S28-25</t>
        </is>
      </c>
    </row>
    <row r="2000">
      <c r="A2000" s="2" t="n">
        <v>46925</v>
      </c>
      <c r="B2000" s="3" t="n">
        <v>2028</v>
      </c>
      <c r="C2000" s="3" t="n">
        <v>6</v>
      </c>
      <c r="D2000" s="3" t="n">
        <v>25</v>
      </c>
      <c r="E2000" s="3" t="inlineStr">
        <is>
          <t>S28-25</t>
        </is>
      </c>
    </row>
    <row r="2001">
      <c r="A2001" s="2" t="n">
        <v>46926</v>
      </c>
      <c r="B2001" s="3" t="n">
        <v>2028</v>
      </c>
      <c r="C2001" s="3" t="n">
        <v>6</v>
      </c>
      <c r="D2001" s="3" t="n">
        <v>25</v>
      </c>
      <c r="E2001" s="3" t="inlineStr">
        <is>
          <t>S28-25</t>
        </is>
      </c>
    </row>
    <row r="2002">
      <c r="A2002" s="2" t="n">
        <v>46927</v>
      </c>
      <c r="B2002" s="3" t="n">
        <v>2028</v>
      </c>
      <c r="C2002" s="3" t="n">
        <v>6</v>
      </c>
      <c r="D2002" s="3" t="n">
        <v>25</v>
      </c>
      <c r="E2002" s="3" t="inlineStr">
        <is>
          <t>S28-25</t>
        </is>
      </c>
    </row>
    <row r="2003">
      <c r="A2003" s="2" t="n">
        <v>46928</v>
      </c>
      <c r="B2003" s="3" t="n">
        <v>2028</v>
      </c>
      <c r="C2003" s="3" t="n">
        <v>6</v>
      </c>
      <c r="D2003" s="3" t="n">
        <v>25</v>
      </c>
      <c r="E2003" s="3" t="inlineStr">
        <is>
          <t>S28-25</t>
        </is>
      </c>
    </row>
    <row r="2004">
      <c r="A2004" s="2" t="n">
        <v>46929</v>
      </c>
      <c r="B2004" s="3" t="n">
        <v>2028</v>
      </c>
      <c r="C2004" s="3" t="n">
        <v>6</v>
      </c>
      <c r="D2004" s="3" t="n">
        <v>25</v>
      </c>
      <c r="E2004" s="3" t="inlineStr">
        <is>
          <t>S28-25</t>
        </is>
      </c>
    </row>
    <row r="2005">
      <c r="A2005" s="2" t="n">
        <v>46930</v>
      </c>
      <c r="B2005" s="3" t="n">
        <v>2028</v>
      </c>
      <c r="C2005" s="3" t="n">
        <v>6</v>
      </c>
      <c r="D2005" s="3" t="n">
        <v>26</v>
      </c>
      <c r="E2005" s="3" t="inlineStr">
        <is>
          <t>S28-26</t>
        </is>
      </c>
    </row>
    <row r="2006">
      <c r="A2006" s="2" t="n">
        <v>46931</v>
      </c>
      <c r="B2006" s="3" t="n">
        <v>2028</v>
      </c>
      <c r="C2006" s="3" t="n">
        <v>6</v>
      </c>
      <c r="D2006" s="3" t="n">
        <v>26</v>
      </c>
      <c r="E2006" s="3" t="inlineStr">
        <is>
          <t>S28-26</t>
        </is>
      </c>
    </row>
    <row r="2007">
      <c r="A2007" s="2" t="n">
        <v>46932</v>
      </c>
      <c r="B2007" s="3" t="n">
        <v>2028</v>
      </c>
      <c r="C2007" s="3" t="n">
        <v>6</v>
      </c>
      <c r="D2007" s="3" t="n">
        <v>26</v>
      </c>
      <c r="E2007" s="3" t="inlineStr">
        <is>
          <t>S28-26</t>
        </is>
      </c>
    </row>
    <row r="2008">
      <c r="A2008" s="2" t="n">
        <v>46933</v>
      </c>
      <c r="B2008" s="3" t="n">
        <v>2028</v>
      </c>
      <c r="C2008" s="3" t="n">
        <v>6</v>
      </c>
      <c r="D2008" s="3" t="n">
        <v>26</v>
      </c>
      <c r="E2008" s="3" t="inlineStr">
        <is>
          <t>S28-26</t>
        </is>
      </c>
    </row>
    <row r="2009">
      <c r="A2009" s="2" t="n">
        <v>46934</v>
      </c>
      <c r="B2009" s="3" t="n">
        <v>2028</v>
      </c>
      <c r="C2009" s="3" t="n">
        <v>6</v>
      </c>
      <c r="D2009" s="3" t="n">
        <v>26</v>
      </c>
      <c r="E2009" s="3" t="inlineStr">
        <is>
          <t>S28-26</t>
        </is>
      </c>
    </row>
    <row r="2010">
      <c r="A2010" s="2" t="n">
        <v>46935</v>
      </c>
      <c r="B2010" s="3" t="n">
        <v>2028</v>
      </c>
      <c r="C2010" s="3" t="n">
        <v>7</v>
      </c>
      <c r="D2010" s="3" t="n">
        <v>26</v>
      </c>
      <c r="E2010" s="3" t="inlineStr">
        <is>
          <t>S28-26</t>
        </is>
      </c>
    </row>
    <row r="2011">
      <c r="A2011" s="2" t="n">
        <v>46936</v>
      </c>
      <c r="B2011" s="3" t="n">
        <v>2028</v>
      </c>
      <c r="C2011" s="3" t="n">
        <v>7</v>
      </c>
      <c r="D2011" s="3" t="n">
        <v>26</v>
      </c>
      <c r="E2011" s="3" t="inlineStr">
        <is>
          <t>S28-26</t>
        </is>
      </c>
    </row>
    <row r="2012">
      <c r="A2012" s="2" t="n">
        <v>46937</v>
      </c>
      <c r="B2012" s="3" t="n">
        <v>2028</v>
      </c>
      <c r="C2012" s="3" t="n">
        <v>7</v>
      </c>
      <c r="D2012" s="3" t="n">
        <v>27</v>
      </c>
      <c r="E2012" s="3" t="inlineStr">
        <is>
          <t>S28-27</t>
        </is>
      </c>
    </row>
    <row r="2013">
      <c r="A2013" s="2" t="n">
        <v>46938</v>
      </c>
      <c r="B2013" s="3" t="n">
        <v>2028</v>
      </c>
      <c r="C2013" s="3" t="n">
        <v>7</v>
      </c>
      <c r="D2013" s="3" t="n">
        <v>27</v>
      </c>
      <c r="E2013" s="3" t="inlineStr">
        <is>
          <t>S28-27</t>
        </is>
      </c>
    </row>
    <row r="2014">
      <c r="A2014" s="2" t="n">
        <v>46939</v>
      </c>
      <c r="B2014" s="3" t="n">
        <v>2028</v>
      </c>
      <c r="C2014" s="3" t="n">
        <v>7</v>
      </c>
      <c r="D2014" s="3" t="n">
        <v>27</v>
      </c>
      <c r="E2014" s="3" t="inlineStr">
        <is>
          <t>S28-27</t>
        </is>
      </c>
    </row>
    <row r="2015">
      <c r="A2015" s="2" t="n">
        <v>46940</v>
      </c>
      <c r="B2015" s="3" t="n">
        <v>2028</v>
      </c>
      <c r="C2015" s="3" t="n">
        <v>7</v>
      </c>
      <c r="D2015" s="3" t="n">
        <v>27</v>
      </c>
      <c r="E2015" s="3" t="inlineStr">
        <is>
          <t>S28-27</t>
        </is>
      </c>
    </row>
    <row r="2016">
      <c r="A2016" s="2" t="n">
        <v>46941</v>
      </c>
      <c r="B2016" s="3" t="n">
        <v>2028</v>
      </c>
      <c r="C2016" s="3" t="n">
        <v>7</v>
      </c>
      <c r="D2016" s="3" t="n">
        <v>27</v>
      </c>
      <c r="E2016" s="3" t="inlineStr">
        <is>
          <t>S28-27</t>
        </is>
      </c>
    </row>
    <row r="2017">
      <c r="A2017" s="2" t="n">
        <v>46942</v>
      </c>
      <c r="B2017" s="3" t="n">
        <v>2028</v>
      </c>
      <c r="C2017" s="3" t="n">
        <v>7</v>
      </c>
      <c r="D2017" s="3" t="n">
        <v>27</v>
      </c>
      <c r="E2017" s="3" t="inlineStr">
        <is>
          <t>S28-27</t>
        </is>
      </c>
    </row>
    <row r="2018">
      <c r="A2018" s="2" t="n">
        <v>46943</v>
      </c>
      <c r="B2018" s="3" t="n">
        <v>2028</v>
      </c>
      <c r="C2018" s="3" t="n">
        <v>7</v>
      </c>
      <c r="D2018" s="3" t="n">
        <v>27</v>
      </c>
      <c r="E2018" s="3" t="inlineStr">
        <is>
          <t>S28-27</t>
        </is>
      </c>
    </row>
    <row r="2019">
      <c r="A2019" s="2" t="n">
        <v>46944</v>
      </c>
      <c r="B2019" s="3" t="n">
        <v>2028</v>
      </c>
      <c r="C2019" s="3" t="n">
        <v>7</v>
      </c>
      <c r="D2019" s="3" t="n">
        <v>28</v>
      </c>
      <c r="E2019" s="3" t="inlineStr">
        <is>
          <t>S28-28</t>
        </is>
      </c>
    </row>
    <row r="2020">
      <c r="A2020" s="2" t="n">
        <v>46945</v>
      </c>
      <c r="B2020" s="3" t="n">
        <v>2028</v>
      </c>
      <c r="C2020" s="3" t="n">
        <v>7</v>
      </c>
      <c r="D2020" s="3" t="n">
        <v>28</v>
      </c>
      <c r="E2020" s="3" t="inlineStr">
        <is>
          <t>S28-28</t>
        </is>
      </c>
    </row>
    <row r="2021">
      <c r="A2021" s="2" t="n">
        <v>46946</v>
      </c>
      <c r="B2021" s="3" t="n">
        <v>2028</v>
      </c>
      <c r="C2021" s="3" t="n">
        <v>7</v>
      </c>
      <c r="D2021" s="3" t="n">
        <v>28</v>
      </c>
      <c r="E2021" s="3" t="inlineStr">
        <is>
          <t>S28-28</t>
        </is>
      </c>
    </row>
    <row r="2022">
      <c r="A2022" s="2" t="n">
        <v>46947</v>
      </c>
      <c r="B2022" s="3" t="n">
        <v>2028</v>
      </c>
      <c r="C2022" s="3" t="n">
        <v>7</v>
      </c>
      <c r="D2022" s="3" t="n">
        <v>28</v>
      </c>
      <c r="E2022" s="3" t="inlineStr">
        <is>
          <t>S28-28</t>
        </is>
      </c>
    </row>
    <row r="2023">
      <c r="A2023" s="2" t="n">
        <v>46948</v>
      </c>
      <c r="B2023" s="3" t="n">
        <v>2028</v>
      </c>
      <c r="C2023" s="3" t="n">
        <v>7</v>
      </c>
      <c r="D2023" s="3" t="n">
        <v>28</v>
      </c>
      <c r="E2023" s="3" t="inlineStr">
        <is>
          <t>S28-28</t>
        </is>
      </c>
    </row>
    <row r="2024">
      <c r="A2024" s="2" t="n">
        <v>46949</v>
      </c>
      <c r="B2024" s="3" t="n">
        <v>2028</v>
      </c>
      <c r="C2024" s="3" t="n">
        <v>7</v>
      </c>
      <c r="D2024" s="3" t="n">
        <v>28</v>
      </c>
      <c r="E2024" s="3" t="inlineStr">
        <is>
          <t>S28-28</t>
        </is>
      </c>
    </row>
    <row r="2025">
      <c r="A2025" s="2" t="n">
        <v>46950</v>
      </c>
      <c r="B2025" s="3" t="n">
        <v>2028</v>
      </c>
      <c r="C2025" s="3" t="n">
        <v>7</v>
      </c>
      <c r="D2025" s="3" t="n">
        <v>28</v>
      </c>
      <c r="E2025" s="3" t="inlineStr">
        <is>
          <t>S28-28</t>
        </is>
      </c>
    </row>
    <row r="2026">
      <c r="A2026" s="2" t="n">
        <v>46951</v>
      </c>
      <c r="B2026" s="3" t="n">
        <v>2028</v>
      </c>
      <c r="C2026" s="3" t="n">
        <v>7</v>
      </c>
      <c r="D2026" s="3" t="n">
        <v>29</v>
      </c>
      <c r="E2026" s="3" t="inlineStr">
        <is>
          <t>S28-29</t>
        </is>
      </c>
    </row>
    <row r="2027">
      <c r="A2027" s="2" t="n">
        <v>46952</v>
      </c>
      <c r="B2027" s="3" t="n">
        <v>2028</v>
      </c>
      <c r="C2027" s="3" t="n">
        <v>7</v>
      </c>
      <c r="D2027" s="3" t="n">
        <v>29</v>
      </c>
      <c r="E2027" s="3" t="inlineStr">
        <is>
          <t>S28-29</t>
        </is>
      </c>
    </row>
    <row r="2028">
      <c r="A2028" s="2" t="n">
        <v>46953</v>
      </c>
      <c r="B2028" s="3" t="n">
        <v>2028</v>
      </c>
      <c r="C2028" s="3" t="n">
        <v>7</v>
      </c>
      <c r="D2028" s="3" t="n">
        <v>29</v>
      </c>
      <c r="E2028" s="3" t="inlineStr">
        <is>
          <t>S28-29</t>
        </is>
      </c>
    </row>
    <row r="2029">
      <c r="A2029" s="2" t="n">
        <v>46954</v>
      </c>
      <c r="B2029" s="3" t="n">
        <v>2028</v>
      </c>
      <c r="C2029" s="3" t="n">
        <v>7</v>
      </c>
      <c r="D2029" s="3" t="n">
        <v>29</v>
      </c>
      <c r="E2029" s="3" t="inlineStr">
        <is>
          <t>S28-29</t>
        </is>
      </c>
    </row>
    <row r="2030">
      <c r="A2030" s="2" t="n">
        <v>46955</v>
      </c>
      <c r="B2030" s="3" t="n">
        <v>2028</v>
      </c>
      <c r="C2030" s="3" t="n">
        <v>7</v>
      </c>
      <c r="D2030" s="3" t="n">
        <v>29</v>
      </c>
      <c r="E2030" s="3" t="inlineStr">
        <is>
          <t>S28-29</t>
        </is>
      </c>
    </row>
    <row r="2031">
      <c r="A2031" s="2" t="n">
        <v>46956</v>
      </c>
      <c r="B2031" s="3" t="n">
        <v>2028</v>
      </c>
      <c r="C2031" s="3" t="n">
        <v>7</v>
      </c>
      <c r="D2031" s="3" t="n">
        <v>29</v>
      </c>
      <c r="E2031" s="3" t="inlineStr">
        <is>
          <t>S28-29</t>
        </is>
      </c>
    </row>
    <row r="2032">
      <c r="A2032" s="2" t="n">
        <v>46957</v>
      </c>
      <c r="B2032" s="3" t="n">
        <v>2028</v>
      </c>
      <c r="C2032" s="3" t="n">
        <v>7</v>
      </c>
      <c r="D2032" s="3" t="n">
        <v>29</v>
      </c>
      <c r="E2032" s="3" t="inlineStr">
        <is>
          <t>S28-29</t>
        </is>
      </c>
    </row>
    <row r="2033">
      <c r="A2033" s="2" t="n">
        <v>46958</v>
      </c>
      <c r="B2033" s="3" t="n">
        <v>2028</v>
      </c>
      <c r="C2033" s="3" t="n">
        <v>7</v>
      </c>
      <c r="D2033" s="3" t="n">
        <v>30</v>
      </c>
      <c r="E2033" s="3" t="inlineStr">
        <is>
          <t>S28-30</t>
        </is>
      </c>
    </row>
    <row r="2034">
      <c r="A2034" s="2" t="n">
        <v>46959</v>
      </c>
      <c r="B2034" s="3" t="n">
        <v>2028</v>
      </c>
      <c r="C2034" s="3" t="n">
        <v>7</v>
      </c>
      <c r="D2034" s="3" t="n">
        <v>30</v>
      </c>
      <c r="E2034" s="3" t="inlineStr">
        <is>
          <t>S28-30</t>
        </is>
      </c>
    </row>
    <row r="2035">
      <c r="A2035" s="2" t="n">
        <v>46960</v>
      </c>
      <c r="B2035" s="3" t="n">
        <v>2028</v>
      </c>
      <c r="C2035" s="3" t="n">
        <v>7</v>
      </c>
      <c r="D2035" s="3" t="n">
        <v>30</v>
      </c>
      <c r="E2035" s="3" t="inlineStr">
        <is>
          <t>S28-30</t>
        </is>
      </c>
    </row>
    <row r="2036">
      <c r="A2036" s="2" t="n">
        <v>46961</v>
      </c>
      <c r="B2036" s="3" t="n">
        <v>2028</v>
      </c>
      <c r="C2036" s="3" t="n">
        <v>7</v>
      </c>
      <c r="D2036" s="3" t="n">
        <v>30</v>
      </c>
      <c r="E2036" s="3" t="inlineStr">
        <is>
          <t>S28-30</t>
        </is>
      </c>
    </row>
    <row r="2037">
      <c r="A2037" s="2" t="n">
        <v>46962</v>
      </c>
      <c r="B2037" s="3" t="n">
        <v>2028</v>
      </c>
      <c r="C2037" s="3" t="n">
        <v>7</v>
      </c>
      <c r="D2037" s="3" t="n">
        <v>30</v>
      </c>
      <c r="E2037" s="3" t="inlineStr">
        <is>
          <t>S28-30</t>
        </is>
      </c>
    </row>
    <row r="2038">
      <c r="A2038" s="2" t="n">
        <v>46963</v>
      </c>
      <c r="B2038" s="3" t="n">
        <v>2028</v>
      </c>
      <c r="C2038" s="3" t="n">
        <v>7</v>
      </c>
      <c r="D2038" s="3" t="n">
        <v>30</v>
      </c>
      <c r="E2038" s="3" t="inlineStr">
        <is>
          <t>S28-30</t>
        </is>
      </c>
    </row>
    <row r="2039">
      <c r="A2039" s="2" t="n">
        <v>46964</v>
      </c>
      <c r="B2039" s="3" t="n">
        <v>2028</v>
      </c>
      <c r="C2039" s="3" t="n">
        <v>7</v>
      </c>
      <c r="D2039" s="3" t="n">
        <v>30</v>
      </c>
      <c r="E2039" s="3" t="inlineStr">
        <is>
          <t>S28-30</t>
        </is>
      </c>
    </row>
    <row r="2040">
      <c r="A2040" s="2" t="n">
        <v>46965</v>
      </c>
      <c r="B2040" s="3" t="n">
        <v>2028</v>
      </c>
      <c r="C2040" s="3" t="n">
        <v>7</v>
      </c>
      <c r="D2040" s="3" t="n">
        <v>31</v>
      </c>
      <c r="E2040" s="3" t="inlineStr">
        <is>
          <t>S28-31</t>
        </is>
      </c>
    </row>
    <row r="2041">
      <c r="A2041" s="2" t="n">
        <v>46966</v>
      </c>
      <c r="B2041" s="3" t="n">
        <v>2028</v>
      </c>
      <c r="C2041" s="3" t="n">
        <v>8</v>
      </c>
      <c r="D2041" s="3" t="n">
        <v>31</v>
      </c>
      <c r="E2041" s="3" t="inlineStr">
        <is>
          <t>S28-31</t>
        </is>
      </c>
    </row>
    <row r="2042">
      <c r="A2042" s="2" t="n">
        <v>46967</v>
      </c>
      <c r="B2042" s="3" t="n">
        <v>2028</v>
      </c>
      <c r="C2042" s="3" t="n">
        <v>8</v>
      </c>
      <c r="D2042" s="3" t="n">
        <v>31</v>
      </c>
      <c r="E2042" s="3" t="inlineStr">
        <is>
          <t>S28-31</t>
        </is>
      </c>
    </row>
    <row r="2043">
      <c r="A2043" s="2" t="n">
        <v>46968</v>
      </c>
      <c r="B2043" s="3" t="n">
        <v>2028</v>
      </c>
      <c r="C2043" s="3" t="n">
        <v>8</v>
      </c>
      <c r="D2043" s="3" t="n">
        <v>31</v>
      </c>
      <c r="E2043" s="3" t="inlineStr">
        <is>
          <t>S28-31</t>
        </is>
      </c>
    </row>
    <row r="2044">
      <c r="A2044" s="2" t="n">
        <v>46969</v>
      </c>
      <c r="B2044" s="3" t="n">
        <v>2028</v>
      </c>
      <c r="C2044" s="3" t="n">
        <v>8</v>
      </c>
      <c r="D2044" s="3" t="n">
        <v>31</v>
      </c>
      <c r="E2044" s="3" t="inlineStr">
        <is>
          <t>S28-31</t>
        </is>
      </c>
    </row>
    <row r="2045">
      <c r="A2045" s="2" t="n">
        <v>46970</v>
      </c>
      <c r="B2045" s="3" t="n">
        <v>2028</v>
      </c>
      <c r="C2045" s="3" t="n">
        <v>8</v>
      </c>
      <c r="D2045" s="3" t="n">
        <v>31</v>
      </c>
      <c r="E2045" s="3" t="inlineStr">
        <is>
          <t>S28-31</t>
        </is>
      </c>
    </row>
    <row r="2046">
      <c r="A2046" s="2" t="n">
        <v>46971</v>
      </c>
      <c r="B2046" s="3" t="n">
        <v>2028</v>
      </c>
      <c r="C2046" s="3" t="n">
        <v>8</v>
      </c>
      <c r="D2046" s="3" t="n">
        <v>31</v>
      </c>
      <c r="E2046" s="3" t="inlineStr">
        <is>
          <t>S28-31</t>
        </is>
      </c>
    </row>
    <row r="2047">
      <c r="A2047" s="2" t="n">
        <v>46972</v>
      </c>
      <c r="B2047" s="3" t="n">
        <v>2028</v>
      </c>
      <c r="C2047" s="3" t="n">
        <v>8</v>
      </c>
      <c r="D2047" s="3" t="n">
        <v>32</v>
      </c>
      <c r="E2047" s="3" t="inlineStr">
        <is>
          <t>S28-32</t>
        </is>
      </c>
    </row>
    <row r="2048">
      <c r="A2048" s="2" t="n">
        <v>46973</v>
      </c>
      <c r="B2048" s="3" t="n">
        <v>2028</v>
      </c>
      <c r="C2048" s="3" t="n">
        <v>8</v>
      </c>
      <c r="D2048" s="3" t="n">
        <v>32</v>
      </c>
      <c r="E2048" s="3" t="inlineStr">
        <is>
          <t>S28-32</t>
        </is>
      </c>
    </row>
    <row r="2049">
      <c r="A2049" s="2" t="n">
        <v>46974</v>
      </c>
      <c r="B2049" s="3" t="n">
        <v>2028</v>
      </c>
      <c r="C2049" s="3" t="n">
        <v>8</v>
      </c>
      <c r="D2049" s="3" t="n">
        <v>32</v>
      </c>
      <c r="E2049" s="3" t="inlineStr">
        <is>
          <t>S28-32</t>
        </is>
      </c>
    </row>
    <row r="2050">
      <c r="A2050" s="2" t="n">
        <v>46975</v>
      </c>
      <c r="B2050" s="3" t="n">
        <v>2028</v>
      </c>
      <c r="C2050" s="3" t="n">
        <v>8</v>
      </c>
      <c r="D2050" s="3" t="n">
        <v>32</v>
      </c>
      <c r="E2050" s="3" t="inlineStr">
        <is>
          <t>S28-32</t>
        </is>
      </c>
    </row>
    <row r="2051">
      <c r="A2051" s="2" t="n">
        <v>46976</v>
      </c>
      <c r="B2051" s="3" t="n">
        <v>2028</v>
      </c>
      <c r="C2051" s="3" t="n">
        <v>8</v>
      </c>
      <c r="D2051" s="3" t="n">
        <v>32</v>
      </c>
      <c r="E2051" s="3" t="inlineStr">
        <is>
          <t>S28-32</t>
        </is>
      </c>
    </row>
    <row r="2052">
      <c r="A2052" s="2" t="n">
        <v>46977</v>
      </c>
      <c r="B2052" s="3" t="n">
        <v>2028</v>
      </c>
      <c r="C2052" s="3" t="n">
        <v>8</v>
      </c>
      <c r="D2052" s="3" t="n">
        <v>32</v>
      </c>
      <c r="E2052" s="3" t="inlineStr">
        <is>
          <t>S28-32</t>
        </is>
      </c>
    </row>
    <row r="2053">
      <c r="A2053" s="2" t="n">
        <v>46978</v>
      </c>
      <c r="B2053" s="3" t="n">
        <v>2028</v>
      </c>
      <c r="C2053" s="3" t="n">
        <v>8</v>
      </c>
      <c r="D2053" s="3" t="n">
        <v>32</v>
      </c>
      <c r="E2053" s="3" t="inlineStr">
        <is>
          <t>S28-32</t>
        </is>
      </c>
    </row>
    <row r="2054">
      <c r="A2054" s="2" t="n">
        <v>46979</v>
      </c>
      <c r="B2054" s="3" t="n">
        <v>2028</v>
      </c>
      <c r="C2054" s="3" t="n">
        <v>8</v>
      </c>
      <c r="D2054" s="3" t="n">
        <v>33</v>
      </c>
      <c r="E2054" s="3" t="inlineStr">
        <is>
          <t>S28-33</t>
        </is>
      </c>
    </row>
    <row r="2055">
      <c r="A2055" s="2" t="n">
        <v>46980</v>
      </c>
      <c r="B2055" s="3" t="n">
        <v>2028</v>
      </c>
      <c r="C2055" s="3" t="n">
        <v>8</v>
      </c>
      <c r="D2055" s="3" t="n">
        <v>33</v>
      </c>
      <c r="E2055" s="3" t="inlineStr">
        <is>
          <t>S28-33</t>
        </is>
      </c>
    </row>
    <row r="2056">
      <c r="A2056" s="2" t="n">
        <v>46981</v>
      </c>
      <c r="B2056" s="3" t="n">
        <v>2028</v>
      </c>
      <c r="C2056" s="3" t="n">
        <v>8</v>
      </c>
      <c r="D2056" s="3" t="n">
        <v>33</v>
      </c>
      <c r="E2056" s="3" t="inlineStr">
        <is>
          <t>S28-33</t>
        </is>
      </c>
    </row>
    <row r="2057">
      <c r="A2057" s="2" t="n">
        <v>46982</v>
      </c>
      <c r="B2057" s="3" t="n">
        <v>2028</v>
      </c>
      <c r="C2057" s="3" t="n">
        <v>8</v>
      </c>
      <c r="D2057" s="3" t="n">
        <v>33</v>
      </c>
      <c r="E2057" s="3" t="inlineStr">
        <is>
          <t>S28-33</t>
        </is>
      </c>
    </row>
    <row r="2058">
      <c r="A2058" s="2" t="n">
        <v>46983</v>
      </c>
      <c r="B2058" s="3" t="n">
        <v>2028</v>
      </c>
      <c r="C2058" s="3" t="n">
        <v>8</v>
      </c>
      <c r="D2058" s="3" t="n">
        <v>33</v>
      </c>
      <c r="E2058" s="3" t="inlineStr">
        <is>
          <t>S28-33</t>
        </is>
      </c>
    </row>
    <row r="2059">
      <c r="A2059" s="2" t="n">
        <v>46984</v>
      </c>
      <c r="B2059" s="3" t="n">
        <v>2028</v>
      </c>
      <c r="C2059" s="3" t="n">
        <v>8</v>
      </c>
      <c r="D2059" s="3" t="n">
        <v>33</v>
      </c>
      <c r="E2059" s="3" t="inlineStr">
        <is>
          <t>S28-33</t>
        </is>
      </c>
    </row>
    <row r="2060">
      <c r="A2060" s="2" t="n">
        <v>46985</v>
      </c>
      <c r="B2060" s="3" t="n">
        <v>2028</v>
      </c>
      <c r="C2060" s="3" t="n">
        <v>8</v>
      </c>
      <c r="D2060" s="3" t="n">
        <v>33</v>
      </c>
      <c r="E2060" s="3" t="inlineStr">
        <is>
          <t>S28-33</t>
        </is>
      </c>
    </row>
    <row r="2061">
      <c r="A2061" s="2" t="n">
        <v>46986</v>
      </c>
      <c r="B2061" s="3" t="n">
        <v>2028</v>
      </c>
      <c r="C2061" s="3" t="n">
        <v>8</v>
      </c>
      <c r="D2061" s="3" t="n">
        <v>34</v>
      </c>
      <c r="E2061" s="3" t="inlineStr">
        <is>
          <t>S28-34</t>
        </is>
      </c>
    </row>
    <row r="2062">
      <c r="A2062" s="2" t="n">
        <v>46987</v>
      </c>
      <c r="B2062" s="3" t="n">
        <v>2028</v>
      </c>
      <c r="C2062" s="3" t="n">
        <v>8</v>
      </c>
      <c r="D2062" s="3" t="n">
        <v>34</v>
      </c>
      <c r="E2062" s="3" t="inlineStr">
        <is>
          <t>S28-34</t>
        </is>
      </c>
    </row>
    <row r="2063">
      <c r="A2063" s="2" t="n">
        <v>46988</v>
      </c>
      <c r="B2063" s="3" t="n">
        <v>2028</v>
      </c>
      <c r="C2063" s="3" t="n">
        <v>8</v>
      </c>
      <c r="D2063" s="3" t="n">
        <v>34</v>
      </c>
      <c r="E2063" s="3" t="inlineStr">
        <is>
          <t>S28-34</t>
        </is>
      </c>
    </row>
    <row r="2064">
      <c r="A2064" s="2" t="n">
        <v>46989</v>
      </c>
      <c r="B2064" s="3" t="n">
        <v>2028</v>
      </c>
      <c r="C2064" s="3" t="n">
        <v>8</v>
      </c>
      <c r="D2064" s="3" t="n">
        <v>34</v>
      </c>
      <c r="E2064" s="3" t="inlineStr">
        <is>
          <t>S28-34</t>
        </is>
      </c>
    </row>
    <row r="2065">
      <c r="A2065" s="2" t="n">
        <v>46990</v>
      </c>
      <c r="B2065" s="3" t="n">
        <v>2028</v>
      </c>
      <c r="C2065" s="3" t="n">
        <v>8</v>
      </c>
      <c r="D2065" s="3" t="n">
        <v>34</v>
      </c>
      <c r="E2065" s="3" t="inlineStr">
        <is>
          <t>S28-34</t>
        </is>
      </c>
    </row>
    <row r="2066">
      <c r="A2066" s="2" t="n">
        <v>46991</v>
      </c>
      <c r="B2066" s="3" t="n">
        <v>2028</v>
      </c>
      <c r="C2066" s="3" t="n">
        <v>8</v>
      </c>
      <c r="D2066" s="3" t="n">
        <v>34</v>
      </c>
      <c r="E2066" s="3" t="inlineStr">
        <is>
          <t>S28-34</t>
        </is>
      </c>
    </row>
    <row r="2067">
      <c r="A2067" s="2" t="n">
        <v>46992</v>
      </c>
      <c r="B2067" s="3" t="n">
        <v>2028</v>
      </c>
      <c r="C2067" s="3" t="n">
        <v>8</v>
      </c>
      <c r="D2067" s="3" t="n">
        <v>34</v>
      </c>
      <c r="E2067" s="3" t="inlineStr">
        <is>
          <t>S28-34</t>
        </is>
      </c>
    </row>
    <row r="2068">
      <c r="A2068" s="2" t="n">
        <v>46993</v>
      </c>
      <c r="B2068" s="3" t="n">
        <v>2028</v>
      </c>
      <c r="C2068" s="3" t="n">
        <v>8</v>
      </c>
      <c r="D2068" s="3" t="n">
        <v>35</v>
      </c>
      <c r="E2068" s="3" t="inlineStr">
        <is>
          <t>S28-35</t>
        </is>
      </c>
    </row>
    <row r="2069">
      <c r="A2069" s="2" t="n">
        <v>46994</v>
      </c>
      <c r="B2069" s="3" t="n">
        <v>2028</v>
      </c>
      <c r="C2069" s="3" t="n">
        <v>8</v>
      </c>
      <c r="D2069" s="3" t="n">
        <v>35</v>
      </c>
      <c r="E2069" s="3" t="inlineStr">
        <is>
          <t>S28-35</t>
        </is>
      </c>
    </row>
    <row r="2070">
      <c r="A2070" s="2" t="n">
        <v>46995</v>
      </c>
      <c r="B2070" s="3" t="n">
        <v>2028</v>
      </c>
      <c r="C2070" s="3" t="n">
        <v>8</v>
      </c>
      <c r="D2070" s="3" t="n">
        <v>35</v>
      </c>
      <c r="E2070" s="3" t="inlineStr">
        <is>
          <t>S28-35</t>
        </is>
      </c>
    </row>
    <row r="2071">
      <c r="A2071" s="2" t="n">
        <v>46996</v>
      </c>
      <c r="B2071" s="3" t="n">
        <v>2028</v>
      </c>
      <c r="C2071" s="3" t="n">
        <v>8</v>
      </c>
      <c r="D2071" s="3" t="n">
        <v>35</v>
      </c>
      <c r="E2071" s="3" t="inlineStr">
        <is>
          <t>S28-35</t>
        </is>
      </c>
    </row>
    <row r="2072">
      <c r="A2072" s="2" t="n">
        <v>46997</v>
      </c>
      <c r="B2072" s="3" t="n">
        <v>2028</v>
      </c>
      <c r="C2072" s="3" t="n">
        <v>9</v>
      </c>
      <c r="D2072" s="3" t="n">
        <v>35</v>
      </c>
      <c r="E2072" s="3" t="inlineStr">
        <is>
          <t>S28-35</t>
        </is>
      </c>
    </row>
    <row r="2073">
      <c r="A2073" s="2" t="n">
        <v>46998</v>
      </c>
      <c r="B2073" s="3" t="n">
        <v>2028</v>
      </c>
      <c r="C2073" s="3" t="n">
        <v>9</v>
      </c>
      <c r="D2073" s="3" t="n">
        <v>35</v>
      </c>
      <c r="E2073" s="3" t="inlineStr">
        <is>
          <t>S28-35</t>
        </is>
      </c>
    </row>
    <row r="2074">
      <c r="A2074" s="2" t="n">
        <v>46999</v>
      </c>
      <c r="B2074" s="3" t="n">
        <v>2028</v>
      </c>
      <c r="C2074" s="3" t="n">
        <v>9</v>
      </c>
      <c r="D2074" s="3" t="n">
        <v>35</v>
      </c>
      <c r="E2074" s="3" t="inlineStr">
        <is>
          <t>S28-35</t>
        </is>
      </c>
    </row>
    <row r="2075">
      <c r="A2075" s="2" t="n">
        <v>47000</v>
      </c>
      <c r="B2075" s="3" t="n">
        <v>2028</v>
      </c>
      <c r="C2075" s="3" t="n">
        <v>9</v>
      </c>
      <c r="D2075" s="3" t="n">
        <v>36</v>
      </c>
      <c r="E2075" s="3" t="inlineStr">
        <is>
          <t>S28-36</t>
        </is>
      </c>
    </row>
    <row r="2076">
      <c r="A2076" s="2" t="n">
        <v>47001</v>
      </c>
      <c r="B2076" s="3" t="n">
        <v>2028</v>
      </c>
      <c r="C2076" s="3" t="n">
        <v>9</v>
      </c>
      <c r="D2076" s="3" t="n">
        <v>36</v>
      </c>
      <c r="E2076" s="3" t="inlineStr">
        <is>
          <t>S28-36</t>
        </is>
      </c>
    </row>
    <row r="2077">
      <c r="A2077" s="2" t="n">
        <v>47002</v>
      </c>
      <c r="B2077" s="3" t="n">
        <v>2028</v>
      </c>
      <c r="C2077" s="3" t="n">
        <v>9</v>
      </c>
      <c r="D2077" s="3" t="n">
        <v>36</v>
      </c>
      <c r="E2077" s="3" t="inlineStr">
        <is>
          <t>S28-36</t>
        </is>
      </c>
    </row>
    <row r="2078">
      <c r="A2078" s="2" t="n">
        <v>47003</v>
      </c>
      <c r="B2078" s="3" t="n">
        <v>2028</v>
      </c>
      <c r="C2078" s="3" t="n">
        <v>9</v>
      </c>
      <c r="D2078" s="3" t="n">
        <v>36</v>
      </c>
      <c r="E2078" s="3" t="inlineStr">
        <is>
          <t>S28-36</t>
        </is>
      </c>
    </row>
    <row r="2079">
      <c r="A2079" s="2" t="n">
        <v>47004</v>
      </c>
      <c r="B2079" s="3" t="n">
        <v>2028</v>
      </c>
      <c r="C2079" s="3" t="n">
        <v>9</v>
      </c>
      <c r="D2079" s="3" t="n">
        <v>36</v>
      </c>
      <c r="E2079" s="3" t="inlineStr">
        <is>
          <t>S28-36</t>
        </is>
      </c>
    </row>
    <row r="2080">
      <c r="A2080" s="2" t="n">
        <v>47005</v>
      </c>
      <c r="B2080" s="3" t="n">
        <v>2028</v>
      </c>
      <c r="C2080" s="3" t="n">
        <v>9</v>
      </c>
      <c r="D2080" s="3" t="n">
        <v>36</v>
      </c>
      <c r="E2080" s="3" t="inlineStr">
        <is>
          <t>S28-36</t>
        </is>
      </c>
    </row>
    <row r="2081">
      <c r="A2081" s="2" t="n">
        <v>47006</v>
      </c>
      <c r="B2081" s="3" t="n">
        <v>2028</v>
      </c>
      <c r="C2081" s="3" t="n">
        <v>9</v>
      </c>
      <c r="D2081" s="3" t="n">
        <v>36</v>
      </c>
      <c r="E2081" s="3" t="inlineStr">
        <is>
          <t>S28-36</t>
        </is>
      </c>
    </row>
    <row r="2082">
      <c r="A2082" s="2" t="n">
        <v>47007</v>
      </c>
      <c r="B2082" s="3" t="n">
        <v>2028</v>
      </c>
      <c r="C2082" s="3" t="n">
        <v>9</v>
      </c>
      <c r="D2082" s="3" t="n">
        <v>37</v>
      </c>
      <c r="E2082" s="3" t="inlineStr">
        <is>
          <t>S28-37</t>
        </is>
      </c>
    </row>
    <row r="2083">
      <c r="A2083" s="2" t="n">
        <v>47008</v>
      </c>
      <c r="B2083" s="3" t="n">
        <v>2028</v>
      </c>
      <c r="C2083" s="3" t="n">
        <v>9</v>
      </c>
      <c r="D2083" s="3" t="n">
        <v>37</v>
      </c>
      <c r="E2083" s="3" t="inlineStr">
        <is>
          <t>S28-37</t>
        </is>
      </c>
    </row>
    <row r="2084">
      <c r="A2084" s="2" t="n">
        <v>47009</v>
      </c>
      <c r="B2084" s="3" t="n">
        <v>2028</v>
      </c>
      <c r="C2084" s="3" t="n">
        <v>9</v>
      </c>
      <c r="D2084" s="3" t="n">
        <v>37</v>
      </c>
      <c r="E2084" s="3" t="inlineStr">
        <is>
          <t>S28-37</t>
        </is>
      </c>
    </row>
    <row r="2085">
      <c r="A2085" s="2" t="n">
        <v>47010</v>
      </c>
      <c r="B2085" s="3" t="n">
        <v>2028</v>
      </c>
      <c r="C2085" s="3" t="n">
        <v>9</v>
      </c>
      <c r="D2085" s="3" t="n">
        <v>37</v>
      </c>
      <c r="E2085" s="3" t="inlineStr">
        <is>
          <t>S28-37</t>
        </is>
      </c>
    </row>
    <row r="2086">
      <c r="A2086" s="2" t="n">
        <v>47011</v>
      </c>
      <c r="B2086" s="3" t="n">
        <v>2028</v>
      </c>
      <c r="C2086" s="3" t="n">
        <v>9</v>
      </c>
      <c r="D2086" s="3" t="n">
        <v>37</v>
      </c>
      <c r="E2086" s="3" t="inlineStr">
        <is>
          <t>S28-37</t>
        </is>
      </c>
    </row>
    <row r="2087">
      <c r="A2087" s="2" t="n">
        <v>47012</v>
      </c>
      <c r="B2087" s="3" t="n">
        <v>2028</v>
      </c>
      <c r="C2087" s="3" t="n">
        <v>9</v>
      </c>
      <c r="D2087" s="3" t="n">
        <v>37</v>
      </c>
      <c r="E2087" s="3" t="inlineStr">
        <is>
          <t>S28-37</t>
        </is>
      </c>
    </row>
    <row r="2088">
      <c r="A2088" s="2" t="n">
        <v>47013</v>
      </c>
      <c r="B2088" s="3" t="n">
        <v>2028</v>
      </c>
      <c r="C2088" s="3" t="n">
        <v>9</v>
      </c>
      <c r="D2088" s="3" t="n">
        <v>37</v>
      </c>
      <c r="E2088" s="3" t="inlineStr">
        <is>
          <t>S28-37</t>
        </is>
      </c>
    </row>
    <row r="2089">
      <c r="A2089" s="2" t="n">
        <v>47014</v>
      </c>
      <c r="B2089" s="3" t="n">
        <v>2028</v>
      </c>
      <c r="C2089" s="3" t="n">
        <v>9</v>
      </c>
      <c r="D2089" s="3" t="n">
        <v>38</v>
      </c>
      <c r="E2089" s="3" t="inlineStr">
        <is>
          <t>S28-38</t>
        </is>
      </c>
    </row>
    <row r="2090">
      <c r="A2090" s="2" t="n">
        <v>47015</v>
      </c>
      <c r="B2090" s="3" t="n">
        <v>2028</v>
      </c>
      <c r="C2090" s="3" t="n">
        <v>9</v>
      </c>
      <c r="D2090" s="3" t="n">
        <v>38</v>
      </c>
      <c r="E2090" s="3" t="inlineStr">
        <is>
          <t>S28-38</t>
        </is>
      </c>
    </row>
    <row r="2091">
      <c r="A2091" s="2" t="n">
        <v>47016</v>
      </c>
      <c r="B2091" s="3" t="n">
        <v>2028</v>
      </c>
      <c r="C2091" s="3" t="n">
        <v>9</v>
      </c>
      <c r="D2091" s="3" t="n">
        <v>38</v>
      </c>
      <c r="E2091" s="3" t="inlineStr">
        <is>
          <t>S28-38</t>
        </is>
      </c>
    </row>
    <row r="2092">
      <c r="A2092" s="2" t="n">
        <v>47017</v>
      </c>
      <c r="B2092" s="3" t="n">
        <v>2028</v>
      </c>
      <c r="C2092" s="3" t="n">
        <v>9</v>
      </c>
      <c r="D2092" s="3" t="n">
        <v>38</v>
      </c>
      <c r="E2092" s="3" t="inlineStr">
        <is>
          <t>S28-38</t>
        </is>
      </c>
    </row>
    <row r="2093">
      <c r="A2093" s="2" t="n">
        <v>47018</v>
      </c>
      <c r="B2093" s="3" t="n">
        <v>2028</v>
      </c>
      <c r="C2093" s="3" t="n">
        <v>9</v>
      </c>
      <c r="D2093" s="3" t="n">
        <v>38</v>
      </c>
      <c r="E2093" s="3" t="inlineStr">
        <is>
          <t>S28-38</t>
        </is>
      </c>
    </row>
    <row r="2094">
      <c r="A2094" s="2" t="n">
        <v>47019</v>
      </c>
      <c r="B2094" s="3" t="n">
        <v>2028</v>
      </c>
      <c r="C2094" s="3" t="n">
        <v>9</v>
      </c>
      <c r="D2094" s="3" t="n">
        <v>38</v>
      </c>
      <c r="E2094" s="3" t="inlineStr">
        <is>
          <t>S28-38</t>
        </is>
      </c>
    </row>
    <row r="2095">
      <c r="A2095" s="2" t="n">
        <v>47020</v>
      </c>
      <c r="B2095" s="3" t="n">
        <v>2028</v>
      </c>
      <c r="C2095" s="3" t="n">
        <v>9</v>
      </c>
      <c r="D2095" s="3" t="n">
        <v>38</v>
      </c>
      <c r="E2095" s="3" t="inlineStr">
        <is>
          <t>S28-38</t>
        </is>
      </c>
    </row>
    <row r="2096">
      <c r="A2096" s="2" t="n">
        <v>47021</v>
      </c>
      <c r="B2096" s="3" t="n">
        <v>2028</v>
      </c>
      <c r="C2096" s="3" t="n">
        <v>9</v>
      </c>
      <c r="D2096" s="3" t="n">
        <v>39</v>
      </c>
      <c r="E2096" s="3" t="inlineStr">
        <is>
          <t>S28-39</t>
        </is>
      </c>
    </row>
    <row r="2097">
      <c r="A2097" s="2" t="n">
        <v>47022</v>
      </c>
      <c r="B2097" s="3" t="n">
        <v>2028</v>
      </c>
      <c r="C2097" s="3" t="n">
        <v>9</v>
      </c>
      <c r="D2097" s="3" t="n">
        <v>39</v>
      </c>
      <c r="E2097" s="3" t="inlineStr">
        <is>
          <t>S28-39</t>
        </is>
      </c>
    </row>
    <row r="2098">
      <c r="A2098" s="2" t="n">
        <v>47023</v>
      </c>
      <c r="B2098" s="3" t="n">
        <v>2028</v>
      </c>
      <c r="C2098" s="3" t="n">
        <v>9</v>
      </c>
      <c r="D2098" s="3" t="n">
        <v>39</v>
      </c>
      <c r="E2098" s="3" t="inlineStr">
        <is>
          <t>S28-39</t>
        </is>
      </c>
    </row>
    <row r="2099">
      <c r="A2099" s="2" t="n">
        <v>47024</v>
      </c>
      <c r="B2099" s="3" t="n">
        <v>2028</v>
      </c>
      <c r="C2099" s="3" t="n">
        <v>9</v>
      </c>
      <c r="D2099" s="3" t="n">
        <v>39</v>
      </c>
      <c r="E2099" s="3" t="inlineStr">
        <is>
          <t>S28-39</t>
        </is>
      </c>
    </row>
    <row r="2100">
      <c r="A2100" s="2" t="n">
        <v>47025</v>
      </c>
      <c r="B2100" s="3" t="n">
        <v>2028</v>
      </c>
      <c r="C2100" s="3" t="n">
        <v>9</v>
      </c>
      <c r="D2100" s="3" t="n">
        <v>39</v>
      </c>
      <c r="E2100" s="3" t="inlineStr">
        <is>
          <t>S28-39</t>
        </is>
      </c>
    </row>
    <row r="2101">
      <c r="A2101" s="2" t="n">
        <v>47026</v>
      </c>
      <c r="B2101" s="3" t="n">
        <v>2028</v>
      </c>
      <c r="C2101" s="3" t="n">
        <v>9</v>
      </c>
      <c r="D2101" s="3" t="n">
        <v>39</v>
      </c>
      <c r="E2101" s="3" t="inlineStr">
        <is>
          <t>S28-39</t>
        </is>
      </c>
    </row>
    <row r="2102">
      <c r="A2102" s="2" t="n">
        <v>47027</v>
      </c>
      <c r="B2102" s="3" t="n">
        <v>2028</v>
      </c>
      <c r="C2102" s="3" t="n">
        <v>10</v>
      </c>
      <c r="D2102" s="3" t="n">
        <v>39</v>
      </c>
      <c r="E2102" s="3" t="inlineStr">
        <is>
          <t>S28-39</t>
        </is>
      </c>
    </row>
    <row r="2103">
      <c r="A2103" s="2" t="n">
        <v>47028</v>
      </c>
      <c r="B2103" s="3" t="n">
        <v>2028</v>
      </c>
      <c r="C2103" s="3" t="n">
        <v>10</v>
      </c>
      <c r="D2103" s="3" t="n">
        <v>40</v>
      </c>
      <c r="E2103" s="3" t="inlineStr">
        <is>
          <t>S28-40</t>
        </is>
      </c>
    </row>
    <row r="2104">
      <c r="A2104" s="2" t="n">
        <v>47029</v>
      </c>
      <c r="B2104" s="3" t="n">
        <v>2028</v>
      </c>
      <c r="C2104" s="3" t="n">
        <v>10</v>
      </c>
      <c r="D2104" s="3" t="n">
        <v>40</v>
      </c>
      <c r="E2104" s="3" t="inlineStr">
        <is>
          <t>S28-40</t>
        </is>
      </c>
    </row>
    <row r="2105">
      <c r="A2105" s="2" t="n">
        <v>47030</v>
      </c>
      <c r="B2105" s="3" t="n">
        <v>2028</v>
      </c>
      <c r="C2105" s="3" t="n">
        <v>10</v>
      </c>
      <c r="D2105" s="3" t="n">
        <v>40</v>
      </c>
      <c r="E2105" s="3" t="inlineStr">
        <is>
          <t>S28-40</t>
        </is>
      </c>
    </row>
    <row r="2106">
      <c r="A2106" s="2" t="n">
        <v>47031</v>
      </c>
      <c r="B2106" s="3" t="n">
        <v>2028</v>
      </c>
      <c r="C2106" s="3" t="n">
        <v>10</v>
      </c>
      <c r="D2106" s="3" t="n">
        <v>40</v>
      </c>
      <c r="E2106" s="3" t="inlineStr">
        <is>
          <t>S28-40</t>
        </is>
      </c>
    </row>
    <row r="2107">
      <c r="A2107" s="2" t="n">
        <v>47032</v>
      </c>
      <c r="B2107" s="3" t="n">
        <v>2028</v>
      </c>
      <c r="C2107" s="3" t="n">
        <v>10</v>
      </c>
      <c r="D2107" s="3" t="n">
        <v>40</v>
      </c>
      <c r="E2107" s="3" t="inlineStr">
        <is>
          <t>S28-40</t>
        </is>
      </c>
    </row>
    <row r="2108">
      <c r="A2108" s="2" t="n">
        <v>47033</v>
      </c>
      <c r="B2108" s="3" t="n">
        <v>2028</v>
      </c>
      <c r="C2108" s="3" t="n">
        <v>10</v>
      </c>
      <c r="D2108" s="3" t="n">
        <v>40</v>
      </c>
      <c r="E2108" s="3" t="inlineStr">
        <is>
          <t>S28-40</t>
        </is>
      </c>
    </row>
    <row r="2109">
      <c r="A2109" s="2" t="n">
        <v>47034</v>
      </c>
      <c r="B2109" s="3" t="n">
        <v>2028</v>
      </c>
      <c r="C2109" s="3" t="n">
        <v>10</v>
      </c>
      <c r="D2109" s="3" t="n">
        <v>40</v>
      </c>
      <c r="E2109" s="3" t="inlineStr">
        <is>
          <t>S28-40</t>
        </is>
      </c>
    </row>
    <row r="2110">
      <c r="A2110" s="2" t="n">
        <v>47035</v>
      </c>
      <c r="B2110" s="3" t="n">
        <v>2028</v>
      </c>
      <c r="C2110" s="3" t="n">
        <v>10</v>
      </c>
      <c r="D2110" s="3" t="n">
        <v>41</v>
      </c>
      <c r="E2110" s="3" t="inlineStr">
        <is>
          <t>S28-41</t>
        </is>
      </c>
    </row>
    <row r="2111">
      <c r="A2111" s="2" t="n">
        <v>47036</v>
      </c>
      <c r="B2111" s="3" t="n">
        <v>2028</v>
      </c>
      <c r="C2111" s="3" t="n">
        <v>10</v>
      </c>
      <c r="D2111" s="3" t="n">
        <v>41</v>
      </c>
      <c r="E2111" s="3" t="inlineStr">
        <is>
          <t>S28-41</t>
        </is>
      </c>
    </row>
    <row r="2112">
      <c r="A2112" s="2" t="n">
        <v>47037</v>
      </c>
      <c r="B2112" s="3" t="n">
        <v>2028</v>
      </c>
      <c r="C2112" s="3" t="n">
        <v>10</v>
      </c>
      <c r="D2112" s="3" t="n">
        <v>41</v>
      </c>
      <c r="E2112" s="3" t="inlineStr">
        <is>
          <t>S28-41</t>
        </is>
      </c>
    </row>
    <row r="2113">
      <c r="A2113" s="2" t="n">
        <v>47038</v>
      </c>
      <c r="B2113" s="3" t="n">
        <v>2028</v>
      </c>
      <c r="C2113" s="3" t="n">
        <v>10</v>
      </c>
      <c r="D2113" s="3" t="n">
        <v>41</v>
      </c>
      <c r="E2113" s="3" t="inlineStr">
        <is>
          <t>S28-41</t>
        </is>
      </c>
    </row>
    <row r="2114">
      <c r="A2114" s="2" t="n">
        <v>47039</v>
      </c>
      <c r="B2114" s="3" t="n">
        <v>2028</v>
      </c>
      <c r="C2114" s="3" t="n">
        <v>10</v>
      </c>
      <c r="D2114" s="3" t="n">
        <v>41</v>
      </c>
      <c r="E2114" s="3" t="inlineStr">
        <is>
          <t>S28-41</t>
        </is>
      </c>
    </row>
    <row r="2115">
      <c r="A2115" s="2" t="n">
        <v>47040</v>
      </c>
      <c r="B2115" s="3" t="n">
        <v>2028</v>
      </c>
      <c r="C2115" s="3" t="n">
        <v>10</v>
      </c>
      <c r="D2115" s="3" t="n">
        <v>41</v>
      </c>
      <c r="E2115" s="3" t="inlineStr">
        <is>
          <t>S28-41</t>
        </is>
      </c>
    </row>
    <row r="2116">
      <c r="A2116" s="2" t="n">
        <v>47041</v>
      </c>
      <c r="B2116" s="3" t="n">
        <v>2028</v>
      </c>
      <c r="C2116" s="3" t="n">
        <v>10</v>
      </c>
      <c r="D2116" s="3" t="n">
        <v>41</v>
      </c>
      <c r="E2116" s="3" t="inlineStr">
        <is>
          <t>S28-41</t>
        </is>
      </c>
    </row>
    <row r="2117">
      <c r="A2117" s="2" t="n">
        <v>47042</v>
      </c>
      <c r="B2117" s="3" t="n">
        <v>2028</v>
      </c>
      <c r="C2117" s="3" t="n">
        <v>10</v>
      </c>
      <c r="D2117" s="3" t="n">
        <v>42</v>
      </c>
      <c r="E2117" s="3" t="inlineStr">
        <is>
          <t>S28-42</t>
        </is>
      </c>
    </row>
    <row r="2118">
      <c r="A2118" s="2" t="n">
        <v>47043</v>
      </c>
      <c r="B2118" s="3" t="n">
        <v>2028</v>
      </c>
      <c r="C2118" s="3" t="n">
        <v>10</v>
      </c>
      <c r="D2118" s="3" t="n">
        <v>42</v>
      </c>
      <c r="E2118" s="3" t="inlineStr">
        <is>
          <t>S28-42</t>
        </is>
      </c>
    </row>
    <row r="2119">
      <c r="A2119" s="2" t="n">
        <v>47044</v>
      </c>
      <c r="B2119" s="3" t="n">
        <v>2028</v>
      </c>
      <c r="C2119" s="3" t="n">
        <v>10</v>
      </c>
      <c r="D2119" s="3" t="n">
        <v>42</v>
      </c>
      <c r="E2119" s="3" t="inlineStr">
        <is>
          <t>S28-42</t>
        </is>
      </c>
    </row>
    <row r="2120">
      <c r="A2120" s="2" t="n">
        <v>47045</v>
      </c>
      <c r="B2120" s="3" t="n">
        <v>2028</v>
      </c>
      <c r="C2120" s="3" t="n">
        <v>10</v>
      </c>
      <c r="D2120" s="3" t="n">
        <v>42</v>
      </c>
      <c r="E2120" s="3" t="inlineStr">
        <is>
          <t>S28-42</t>
        </is>
      </c>
    </row>
    <row r="2121">
      <c r="A2121" s="2" t="n">
        <v>47046</v>
      </c>
      <c r="B2121" s="3" t="n">
        <v>2028</v>
      </c>
      <c r="C2121" s="3" t="n">
        <v>10</v>
      </c>
      <c r="D2121" s="3" t="n">
        <v>42</v>
      </c>
      <c r="E2121" s="3" t="inlineStr">
        <is>
          <t>S28-42</t>
        </is>
      </c>
    </row>
    <row r="2122">
      <c r="A2122" s="2" t="n">
        <v>47047</v>
      </c>
      <c r="B2122" s="3" t="n">
        <v>2028</v>
      </c>
      <c r="C2122" s="3" t="n">
        <v>10</v>
      </c>
      <c r="D2122" s="3" t="n">
        <v>42</v>
      </c>
      <c r="E2122" s="3" t="inlineStr">
        <is>
          <t>S28-42</t>
        </is>
      </c>
    </row>
    <row r="2123">
      <c r="A2123" s="2" t="n">
        <v>47048</v>
      </c>
      <c r="B2123" s="3" t="n">
        <v>2028</v>
      </c>
      <c r="C2123" s="3" t="n">
        <v>10</v>
      </c>
      <c r="D2123" s="3" t="n">
        <v>42</v>
      </c>
      <c r="E2123" s="3" t="inlineStr">
        <is>
          <t>S28-42</t>
        </is>
      </c>
    </row>
    <row r="2124">
      <c r="A2124" s="2" t="n">
        <v>47049</v>
      </c>
      <c r="B2124" s="3" t="n">
        <v>2028</v>
      </c>
      <c r="C2124" s="3" t="n">
        <v>10</v>
      </c>
      <c r="D2124" s="3" t="n">
        <v>43</v>
      </c>
      <c r="E2124" s="3" t="inlineStr">
        <is>
          <t>S28-43</t>
        </is>
      </c>
    </row>
    <row r="2125">
      <c r="A2125" s="2" t="n">
        <v>47050</v>
      </c>
      <c r="B2125" s="3" t="n">
        <v>2028</v>
      </c>
      <c r="C2125" s="3" t="n">
        <v>10</v>
      </c>
      <c r="D2125" s="3" t="n">
        <v>43</v>
      </c>
      <c r="E2125" s="3" t="inlineStr">
        <is>
          <t>S28-43</t>
        </is>
      </c>
    </row>
    <row r="2126">
      <c r="A2126" s="2" t="n">
        <v>47051</v>
      </c>
      <c r="B2126" s="3" t="n">
        <v>2028</v>
      </c>
      <c r="C2126" s="3" t="n">
        <v>10</v>
      </c>
      <c r="D2126" s="3" t="n">
        <v>43</v>
      </c>
      <c r="E2126" s="3" t="inlineStr">
        <is>
          <t>S28-43</t>
        </is>
      </c>
    </row>
    <row r="2127">
      <c r="A2127" s="2" t="n">
        <v>47052</v>
      </c>
      <c r="B2127" s="3" t="n">
        <v>2028</v>
      </c>
      <c r="C2127" s="3" t="n">
        <v>10</v>
      </c>
      <c r="D2127" s="3" t="n">
        <v>43</v>
      </c>
      <c r="E2127" s="3" t="inlineStr">
        <is>
          <t>S28-43</t>
        </is>
      </c>
    </row>
    <row r="2128">
      <c r="A2128" s="2" t="n">
        <v>47053</v>
      </c>
      <c r="B2128" s="3" t="n">
        <v>2028</v>
      </c>
      <c r="C2128" s="3" t="n">
        <v>10</v>
      </c>
      <c r="D2128" s="3" t="n">
        <v>43</v>
      </c>
      <c r="E2128" s="3" t="inlineStr">
        <is>
          <t>S28-43</t>
        </is>
      </c>
    </row>
    <row r="2129">
      <c r="A2129" s="2" t="n">
        <v>47054</v>
      </c>
      <c r="B2129" s="3" t="n">
        <v>2028</v>
      </c>
      <c r="C2129" s="3" t="n">
        <v>10</v>
      </c>
      <c r="D2129" s="3" t="n">
        <v>43</v>
      </c>
      <c r="E2129" s="3" t="inlineStr">
        <is>
          <t>S28-43</t>
        </is>
      </c>
    </row>
    <row r="2130">
      <c r="A2130" s="2" t="n">
        <v>47055</v>
      </c>
      <c r="B2130" s="3" t="n">
        <v>2028</v>
      </c>
      <c r="C2130" s="3" t="n">
        <v>10</v>
      </c>
      <c r="D2130" s="3" t="n">
        <v>43</v>
      </c>
      <c r="E2130" s="3" t="inlineStr">
        <is>
          <t>S28-43</t>
        </is>
      </c>
    </row>
    <row r="2131">
      <c r="A2131" s="2" t="n">
        <v>47056</v>
      </c>
      <c r="B2131" s="3" t="n">
        <v>2028</v>
      </c>
      <c r="C2131" s="3" t="n">
        <v>10</v>
      </c>
      <c r="D2131" s="3" t="n">
        <v>44</v>
      </c>
      <c r="E2131" s="3" t="inlineStr">
        <is>
          <t>S28-44</t>
        </is>
      </c>
    </row>
    <row r="2132">
      <c r="A2132" s="2" t="n">
        <v>47057</v>
      </c>
      <c r="B2132" s="3" t="n">
        <v>2028</v>
      </c>
      <c r="C2132" s="3" t="n">
        <v>10</v>
      </c>
      <c r="D2132" s="3" t="n">
        <v>44</v>
      </c>
      <c r="E2132" s="3" t="inlineStr">
        <is>
          <t>S28-44</t>
        </is>
      </c>
    </row>
    <row r="2133">
      <c r="A2133" s="2" t="n">
        <v>47058</v>
      </c>
      <c r="B2133" s="3" t="n">
        <v>2028</v>
      </c>
      <c r="C2133" s="3" t="n">
        <v>11</v>
      </c>
      <c r="D2133" s="3" t="n">
        <v>44</v>
      </c>
      <c r="E2133" s="3" t="inlineStr">
        <is>
          <t>S28-44</t>
        </is>
      </c>
    </row>
    <row r="2134">
      <c r="A2134" s="2" t="n">
        <v>47059</v>
      </c>
      <c r="B2134" s="3" t="n">
        <v>2028</v>
      </c>
      <c r="C2134" s="3" t="n">
        <v>11</v>
      </c>
      <c r="D2134" s="3" t="n">
        <v>44</v>
      </c>
      <c r="E2134" s="3" t="inlineStr">
        <is>
          <t>S28-44</t>
        </is>
      </c>
    </row>
    <row r="2135">
      <c r="A2135" s="2" t="n">
        <v>47060</v>
      </c>
      <c r="B2135" s="3" t="n">
        <v>2028</v>
      </c>
      <c r="C2135" s="3" t="n">
        <v>11</v>
      </c>
      <c r="D2135" s="3" t="n">
        <v>44</v>
      </c>
      <c r="E2135" s="3" t="inlineStr">
        <is>
          <t>S28-44</t>
        </is>
      </c>
    </row>
    <row r="2136">
      <c r="A2136" s="2" t="n">
        <v>47061</v>
      </c>
      <c r="B2136" s="3" t="n">
        <v>2028</v>
      </c>
      <c r="C2136" s="3" t="n">
        <v>11</v>
      </c>
      <c r="D2136" s="3" t="n">
        <v>44</v>
      </c>
      <c r="E2136" s="3" t="inlineStr">
        <is>
          <t>S28-44</t>
        </is>
      </c>
    </row>
    <row r="2137">
      <c r="A2137" s="2" t="n">
        <v>47062</v>
      </c>
      <c r="B2137" s="3" t="n">
        <v>2028</v>
      </c>
      <c r="C2137" s="3" t="n">
        <v>11</v>
      </c>
      <c r="D2137" s="3" t="n">
        <v>44</v>
      </c>
      <c r="E2137" s="3" t="inlineStr">
        <is>
          <t>S28-44</t>
        </is>
      </c>
    </row>
    <row r="2138">
      <c r="A2138" s="2" t="n">
        <v>47063</v>
      </c>
      <c r="B2138" s="3" t="n">
        <v>2028</v>
      </c>
      <c r="C2138" s="3" t="n">
        <v>11</v>
      </c>
      <c r="D2138" s="3" t="n">
        <v>45</v>
      </c>
      <c r="E2138" s="3" t="inlineStr">
        <is>
          <t>S28-45</t>
        </is>
      </c>
    </row>
    <row r="2139">
      <c r="A2139" s="2" t="n">
        <v>47064</v>
      </c>
      <c r="B2139" s="3" t="n">
        <v>2028</v>
      </c>
      <c r="C2139" s="3" t="n">
        <v>11</v>
      </c>
      <c r="D2139" s="3" t="n">
        <v>45</v>
      </c>
      <c r="E2139" s="3" t="inlineStr">
        <is>
          <t>S28-45</t>
        </is>
      </c>
    </row>
    <row r="2140">
      <c r="A2140" s="2" t="n">
        <v>47065</v>
      </c>
      <c r="B2140" s="3" t="n">
        <v>2028</v>
      </c>
      <c r="C2140" s="3" t="n">
        <v>11</v>
      </c>
      <c r="D2140" s="3" t="n">
        <v>45</v>
      </c>
      <c r="E2140" s="3" t="inlineStr">
        <is>
          <t>S28-45</t>
        </is>
      </c>
    </row>
    <row r="2141">
      <c r="A2141" s="2" t="n">
        <v>47066</v>
      </c>
      <c r="B2141" s="3" t="n">
        <v>2028</v>
      </c>
      <c r="C2141" s="3" t="n">
        <v>11</v>
      </c>
      <c r="D2141" s="3" t="n">
        <v>45</v>
      </c>
      <c r="E2141" s="3" t="inlineStr">
        <is>
          <t>S28-45</t>
        </is>
      </c>
    </row>
    <row r="2142">
      <c r="A2142" s="2" t="n">
        <v>47067</v>
      </c>
      <c r="B2142" s="3" t="n">
        <v>2028</v>
      </c>
      <c r="C2142" s="3" t="n">
        <v>11</v>
      </c>
      <c r="D2142" s="3" t="n">
        <v>45</v>
      </c>
      <c r="E2142" s="3" t="inlineStr">
        <is>
          <t>S28-45</t>
        </is>
      </c>
    </row>
    <row r="2143">
      <c r="A2143" s="2" t="n">
        <v>47068</v>
      </c>
      <c r="B2143" s="3" t="n">
        <v>2028</v>
      </c>
      <c r="C2143" s="3" t="n">
        <v>11</v>
      </c>
      <c r="D2143" s="3" t="n">
        <v>45</v>
      </c>
      <c r="E2143" s="3" t="inlineStr">
        <is>
          <t>S28-45</t>
        </is>
      </c>
    </row>
    <row r="2144">
      <c r="A2144" s="2" t="n">
        <v>47069</v>
      </c>
      <c r="B2144" s="3" t="n">
        <v>2028</v>
      </c>
      <c r="C2144" s="3" t="n">
        <v>11</v>
      </c>
      <c r="D2144" s="3" t="n">
        <v>45</v>
      </c>
      <c r="E2144" s="3" t="inlineStr">
        <is>
          <t>S28-45</t>
        </is>
      </c>
    </row>
    <row r="2145">
      <c r="A2145" s="2" t="n">
        <v>47070</v>
      </c>
      <c r="B2145" s="3" t="n">
        <v>2028</v>
      </c>
      <c r="C2145" s="3" t="n">
        <v>11</v>
      </c>
      <c r="D2145" s="3" t="n">
        <v>46</v>
      </c>
      <c r="E2145" s="3" t="inlineStr">
        <is>
          <t>S28-46</t>
        </is>
      </c>
    </row>
    <row r="2146">
      <c r="A2146" s="2" t="n">
        <v>47071</v>
      </c>
      <c r="B2146" s="3" t="n">
        <v>2028</v>
      </c>
      <c r="C2146" s="3" t="n">
        <v>11</v>
      </c>
      <c r="D2146" s="3" t="n">
        <v>46</v>
      </c>
      <c r="E2146" s="3" t="inlineStr">
        <is>
          <t>S28-46</t>
        </is>
      </c>
    </row>
    <row r="2147">
      <c r="A2147" s="2" t="n">
        <v>47072</v>
      </c>
      <c r="B2147" s="3" t="n">
        <v>2028</v>
      </c>
      <c r="C2147" s="3" t="n">
        <v>11</v>
      </c>
      <c r="D2147" s="3" t="n">
        <v>46</v>
      </c>
      <c r="E2147" s="3" t="inlineStr">
        <is>
          <t>S28-46</t>
        </is>
      </c>
    </row>
    <row r="2148">
      <c r="A2148" s="2" t="n">
        <v>47073</v>
      </c>
      <c r="B2148" s="3" t="n">
        <v>2028</v>
      </c>
      <c r="C2148" s="3" t="n">
        <v>11</v>
      </c>
      <c r="D2148" s="3" t="n">
        <v>46</v>
      </c>
      <c r="E2148" s="3" t="inlineStr">
        <is>
          <t>S28-46</t>
        </is>
      </c>
    </row>
    <row r="2149">
      <c r="A2149" s="2" t="n">
        <v>47074</v>
      </c>
      <c r="B2149" s="3" t="n">
        <v>2028</v>
      </c>
      <c r="C2149" s="3" t="n">
        <v>11</v>
      </c>
      <c r="D2149" s="3" t="n">
        <v>46</v>
      </c>
      <c r="E2149" s="3" t="inlineStr">
        <is>
          <t>S28-46</t>
        </is>
      </c>
    </row>
    <row r="2150">
      <c r="A2150" s="2" t="n">
        <v>47075</v>
      </c>
      <c r="B2150" s="3" t="n">
        <v>2028</v>
      </c>
      <c r="C2150" s="3" t="n">
        <v>11</v>
      </c>
      <c r="D2150" s="3" t="n">
        <v>46</v>
      </c>
      <c r="E2150" s="3" t="inlineStr">
        <is>
          <t>S28-46</t>
        </is>
      </c>
    </row>
    <row r="2151">
      <c r="A2151" s="2" t="n">
        <v>47076</v>
      </c>
      <c r="B2151" s="3" t="n">
        <v>2028</v>
      </c>
      <c r="C2151" s="3" t="n">
        <v>11</v>
      </c>
      <c r="D2151" s="3" t="n">
        <v>46</v>
      </c>
      <c r="E2151" s="3" t="inlineStr">
        <is>
          <t>S28-46</t>
        </is>
      </c>
    </row>
    <row r="2152">
      <c r="A2152" s="2" t="n">
        <v>47077</v>
      </c>
      <c r="B2152" s="3" t="n">
        <v>2028</v>
      </c>
      <c r="C2152" s="3" t="n">
        <v>11</v>
      </c>
      <c r="D2152" s="3" t="n">
        <v>47</v>
      </c>
      <c r="E2152" s="3" t="inlineStr">
        <is>
          <t>S28-47</t>
        </is>
      </c>
    </row>
    <row r="2153">
      <c r="A2153" s="2" t="n">
        <v>47078</v>
      </c>
      <c r="B2153" s="3" t="n">
        <v>2028</v>
      </c>
      <c r="C2153" s="3" t="n">
        <v>11</v>
      </c>
      <c r="D2153" s="3" t="n">
        <v>47</v>
      </c>
      <c r="E2153" s="3" t="inlineStr">
        <is>
          <t>S28-47</t>
        </is>
      </c>
    </row>
    <row r="2154">
      <c r="A2154" s="2" t="n">
        <v>47079</v>
      </c>
      <c r="B2154" s="3" t="n">
        <v>2028</v>
      </c>
      <c r="C2154" s="3" t="n">
        <v>11</v>
      </c>
      <c r="D2154" s="3" t="n">
        <v>47</v>
      </c>
      <c r="E2154" s="3" t="inlineStr">
        <is>
          <t>S28-47</t>
        </is>
      </c>
    </row>
    <row r="2155">
      <c r="A2155" s="2" t="n">
        <v>47080</v>
      </c>
      <c r="B2155" s="3" t="n">
        <v>2028</v>
      </c>
      <c r="C2155" s="3" t="n">
        <v>11</v>
      </c>
      <c r="D2155" s="3" t="n">
        <v>47</v>
      </c>
      <c r="E2155" s="3" t="inlineStr">
        <is>
          <t>S28-47</t>
        </is>
      </c>
    </row>
    <row r="2156">
      <c r="A2156" s="2" t="n">
        <v>47081</v>
      </c>
      <c r="B2156" s="3" t="n">
        <v>2028</v>
      </c>
      <c r="C2156" s="3" t="n">
        <v>11</v>
      </c>
      <c r="D2156" s="3" t="n">
        <v>47</v>
      </c>
      <c r="E2156" s="3" t="inlineStr">
        <is>
          <t>S28-47</t>
        </is>
      </c>
    </row>
    <row r="2157">
      <c r="A2157" s="2" t="n">
        <v>47082</v>
      </c>
      <c r="B2157" s="3" t="n">
        <v>2028</v>
      </c>
      <c r="C2157" s="3" t="n">
        <v>11</v>
      </c>
      <c r="D2157" s="3" t="n">
        <v>47</v>
      </c>
      <c r="E2157" s="3" t="inlineStr">
        <is>
          <t>S28-47</t>
        </is>
      </c>
    </row>
    <row r="2158">
      <c r="A2158" s="2" t="n">
        <v>47083</v>
      </c>
      <c r="B2158" s="3" t="n">
        <v>2028</v>
      </c>
      <c r="C2158" s="3" t="n">
        <v>11</v>
      </c>
      <c r="D2158" s="3" t="n">
        <v>47</v>
      </c>
      <c r="E2158" s="3" t="inlineStr">
        <is>
          <t>S28-47</t>
        </is>
      </c>
    </row>
    <row r="2159">
      <c r="A2159" s="2" t="n">
        <v>47084</v>
      </c>
      <c r="B2159" s="3" t="n">
        <v>2028</v>
      </c>
      <c r="C2159" s="3" t="n">
        <v>11</v>
      </c>
      <c r="D2159" s="3" t="n">
        <v>48</v>
      </c>
      <c r="E2159" s="3" t="inlineStr">
        <is>
          <t>S28-48</t>
        </is>
      </c>
    </row>
    <row r="2160">
      <c r="A2160" s="2" t="n">
        <v>47085</v>
      </c>
      <c r="B2160" s="3" t="n">
        <v>2028</v>
      </c>
      <c r="C2160" s="3" t="n">
        <v>11</v>
      </c>
      <c r="D2160" s="3" t="n">
        <v>48</v>
      </c>
      <c r="E2160" s="3" t="inlineStr">
        <is>
          <t>S28-48</t>
        </is>
      </c>
    </row>
    <row r="2161">
      <c r="A2161" s="2" t="n">
        <v>47086</v>
      </c>
      <c r="B2161" s="3" t="n">
        <v>2028</v>
      </c>
      <c r="C2161" s="3" t="n">
        <v>11</v>
      </c>
      <c r="D2161" s="3" t="n">
        <v>48</v>
      </c>
      <c r="E2161" s="3" t="inlineStr">
        <is>
          <t>S28-48</t>
        </is>
      </c>
    </row>
    <row r="2162">
      <c r="A2162" s="2" t="n">
        <v>47087</v>
      </c>
      <c r="B2162" s="3" t="n">
        <v>2028</v>
      </c>
      <c r="C2162" s="3" t="n">
        <v>11</v>
      </c>
      <c r="D2162" s="3" t="n">
        <v>48</v>
      </c>
      <c r="E2162" s="3" t="inlineStr">
        <is>
          <t>S28-48</t>
        </is>
      </c>
    </row>
    <row r="2163">
      <c r="A2163" s="2" t="n">
        <v>47088</v>
      </c>
      <c r="B2163" s="3" t="n">
        <v>2028</v>
      </c>
      <c r="C2163" s="3" t="n">
        <v>12</v>
      </c>
      <c r="D2163" s="3" t="n">
        <v>48</v>
      </c>
      <c r="E2163" s="3" t="inlineStr">
        <is>
          <t>S28-48</t>
        </is>
      </c>
    </row>
    <row r="2164">
      <c r="A2164" s="2" t="n">
        <v>47089</v>
      </c>
      <c r="B2164" s="3" t="n">
        <v>2028</v>
      </c>
      <c r="C2164" s="3" t="n">
        <v>12</v>
      </c>
      <c r="D2164" s="3" t="n">
        <v>48</v>
      </c>
      <c r="E2164" s="3" t="inlineStr">
        <is>
          <t>S28-48</t>
        </is>
      </c>
    </row>
    <row r="2165">
      <c r="A2165" s="2" t="n">
        <v>47090</v>
      </c>
      <c r="B2165" s="3" t="n">
        <v>2028</v>
      </c>
      <c r="C2165" s="3" t="n">
        <v>12</v>
      </c>
      <c r="D2165" s="3" t="n">
        <v>48</v>
      </c>
      <c r="E2165" s="3" t="inlineStr">
        <is>
          <t>S28-48</t>
        </is>
      </c>
    </row>
    <row r="2166">
      <c r="A2166" s="2" t="n">
        <v>47091</v>
      </c>
      <c r="B2166" s="3" t="n">
        <v>2028</v>
      </c>
      <c r="C2166" s="3" t="n">
        <v>12</v>
      </c>
      <c r="D2166" s="3" t="n">
        <v>49</v>
      </c>
      <c r="E2166" s="3" t="inlineStr">
        <is>
          <t>S28-49</t>
        </is>
      </c>
    </row>
    <row r="2167">
      <c r="A2167" s="2" t="n">
        <v>47092</v>
      </c>
      <c r="B2167" s="3" t="n">
        <v>2028</v>
      </c>
      <c r="C2167" s="3" t="n">
        <v>12</v>
      </c>
      <c r="D2167" s="3" t="n">
        <v>49</v>
      </c>
      <c r="E2167" s="3" t="inlineStr">
        <is>
          <t>S28-49</t>
        </is>
      </c>
    </row>
    <row r="2168">
      <c r="A2168" s="2" t="n">
        <v>47093</v>
      </c>
      <c r="B2168" s="3" t="n">
        <v>2028</v>
      </c>
      <c r="C2168" s="3" t="n">
        <v>12</v>
      </c>
      <c r="D2168" s="3" t="n">
        <v>49</v>
      </c>
      <c r="E2168" s="3" t="inlineStr">
        <is>
          <t>S28-49</t>
        </is>
      </c>
    </row>
    <row r="2169">
      <c r="A2169" s="2" t="n">
        <v>47094</v>
      </c>
      <c r="B2169" s="3" t="n">
        <v>2028</v>
      </c>
      <c r="C2169" s="3" t="n">
        <v>12</v>
      </c>
      <c r="D2169" s="3" t="n">
        <v>49</v>
      </c>
      <c r="E2169" s="3" t="inlineStr">
        <is>
          <t>S28-49</t>
        </is>
      </c>
    </row>
    <row r="2170">
      <c r="A2170" s="2" t="n">
        <v>47095</v>
      </c>
      <c r="B2170" s="3" t="n">
        <v>2028</v>
      </c>
      <c r="C2170" s="3" t="n">
        <v>12</v>
      </c>
      <c r="D2170" s="3" t="n">
        <v>49</v>
      </c>
      <c r="E2170" s="3" t="inlineStr">
        <is>
          <t>S28-49</t>
        </is>
      </c>
    </row>
    <row r="2171">
      <c r="A2171" s="2" t="n">
        <v>47096</v>
      </c>
      <c r="B2171" s="3" t="n">
        <v>2028</v>
      </c>
      <c r="C2171" s="3" t="n">
        <v>12</v>
      </c>
      <c r="D2171" s="3" t="n">
        <v>49</v>
      </c>
      <c r="E2171" s="3" t="inlineStr">
        <is>
          <t>S28-49</t>
        </is>
      </c>
    </row>
    <row r="2172">
      <c r="A2172" s="2" t="n">
        <v>47097</v>
      </c>
      <c r="B2172" s="3" t="n">
        <v>2028</v>
      </c>
      <c r="C2172" s="3" t="n">
        <v>12</v>
      </c>
      <c r="D2172" s="3" t="n">
        <v>49</v>
      </c>
      <c r="E2172" s="3" t="inlineStr">
        <is>
          <t>S28-49</t>
        </is>
      </c>
    </row>
    <row r="2173">
      <c r="A2173" s="2" t="n">
        <v>47098</v>
      </c>
      <c r="B2173" s="3" t="n">
        <v>2028</v>
      </c>
      <c r="C2173" s="3" t="n">
        <v>12</v>
      </c>
      <c r="D2173" s="3" t="n">
        <v>50</v>
      </c>
      <c r="E2173" s="3" t="inlineStr">
        <is>
          <t>S28-50</t>
        </is>
      </c>
    </row>
    <row r="2174">
      <c r="A2174" s="2" t="n">
        <v>47099</v>
      </c>
      <c r="B2174" s="3" t="n">
        <v>2028</v>
      </c>
      <c r="C2174" s="3" t="n">
        <v>12</v>
      </c>
      <c r="D2174" s="3" t="n">
        <v>50</v>
      </c>
      <c r="E2174" s="3" t="inlineStr">
        <is>
          <t>S28-50</t>
        </is>
      </c>
    </row>
    <row r="2175">
      <c r="A2175" s="2" t="n">
        <v>47100</v>
      </c>
      <c r="B2175" s="3" t="n">
        <v>2028</v>
      </c>
      <c r="C2175" s="3" t="n">
        <v>12</v>
      </c>
      <c r="D2175" s="3" t="n">
        <v>50</v>
      </c>
      <c r="E2175" s="3" t="inlineStr">
        <is>
          <t>S28-50</t>
        </is>
      </c>
    </row>
    <row r="2176">
      <c r="A2176" s="2" t="n">
        <v>47101</v>
      </c>
      <c r="B2176" s="3" t="n">
        <v>2028</v>
      </c>
      <c r="C2176" s="3" t="n">
        <v>12</v>
      </c>
      <c r="D2176" s="3" t="n">
        <v>50</v>
      </c>
      <c r="E2176" s="3" t="inlineStr">
        <is>
          <t>S28-50</t>
        </is>
      </c>
    </row>
    <row r="2177">
      <c r="A2177" s="2" t="n">
        <v>47102</v>
      </c>
      <c r="B2177" s="3" t="n">
        <v>2028</v>
      </c>
      <c r="C2177" s="3" t="n">
        <v>12</v>
      </c>
      <c r="D2177" s="3" t="n">
        <v>50</v>
      </c>
      <c r="E2177" s="3" t="inlineStr">
        <is>
          <t>S28-50</t>
        </is>
      </c>
    </row>
    <row r="2178">
      <c r="A2178" s="2" t="n">
        <v>47103</v>
      </c>
      <c r="B2178" s="3" t="n">
        <v>2028</v>
      </c>
      <c r="C2178" s="3" t="n">
        <v>12</v>
      </c>
      <c r="D2178" s="3" t="n">
        <v>50</v>
      </c>
      <c r="E2178" s="3" t="inlineStr">
        <is>
          <t>S28-50</t>
        </is>
      </c>
    </row>
    <row r="2179">
      <c r="A2179" s="2" t="n">
        <v>47104</v>
      </c>
      <c r="B2179" s="3" t="n">
        <v>2028</v>
      </c>
      <c r="C2179" s="3" t="n">
        <v>12</v>
      </c>
      <c r="D2179" s="3" t="n">
        <v>50</v>
      </c>
      <c r="E2179" s="3" t="inlineStr">
        <is>
          <t>S28-50</t>
        </is>
      </c>
    </row>
    <row r="2180">
      <c r="A2180" s="2" t="n">
        <v>47105</v>
      </c>
      <c r="B2180" s="3" t="n">
        <v>2028</v>
      </c>
      <c r="C2180" s="3" t="n">
        <v>12</v>
      </c>
      <c r="D2180" s="3" t="n">
        <v>51</v>
      </c>
      <c r="E2180" s="3" t="inlineStr">
        <is>
          <t>S28-51</t>
        </is>
      </c>
    </row>
    <row r="2181">
      <c r="A2181" s="2" t="n">
        <v>47106</v>
      </c>
      <c r="B2181" s="3" t="n">
        <v>2028</v>
      </c>
      <c r="C2181" s="3" t="n">
        <v>12</v>
      </c>
      <c r="D2181" s="3" t="n">
        <v>51</v>
      </c>
      <c r="E2181" s="3" t="inlineStr">
        <is>
          <t>S28-51</t>
        </is>
      </c>
    </row>
    <row r="2182">
      <c r="A2182" s="2" t="n">
        <v>47107</v>
      </c>
      <c r="B2182" s="3" t="n">
        <v>2028</v>
      </c>
      <c r="C2182" s="3" t="n">
        <v>12</v>
      </c>
      <c r="D2182" s="3" t="n">
        <v>51</v>
      </c>
      <c r="E2182" s="3" t="inlineStr">
        <is>
          <t>S28-51</t>
        </is>
      </c>
    </row>
    <row r="2183">
      <c r="A2183" s="2" t="n">
        <v>47108</v>
      </c>
      <c r="B2183" s="3" t="n">
        <v>2028</v>
      </c>
      <c r="C2183" s="3" t="n">
        <v>12</v>
      </c>
      <c r="D2183" s="3" t="n">
        <v>51</v>
      </c>
      <c r="E2183" s="3" t="inlineStr">
        <is>
          <t>S28-51</t>
        </is>
      </c>
    </row>
    <row r="2184">
      <c r="A2184" s="2" t="n">
        <v>47109</v>
      </c>
      <c r="B2184" s="3" t="n">
        <v>2028</v>
      </c>
      <c r="C2184" s="3" t="n">
        <v>12</v>
      </c>
      <c r="D2184" s="3" t="n">
        <v>51</v>
      </c>
      <c r="E2184" s="3" t="inlineStr">
        <is>
          <t>S28-51</t>
        </is>
      </c>
    </row>
    <row r="2185">
      <c r="A2185" s="2" t="n">
        <v>47110</v>
      </c>
      <c r="B2185" s="3" t="n">
        <v>2028</v>
      </c>
      <c r="C2185" s="3" t="n">
        <v>12</v>
      </c>
      <c r="D2185" s="3" t="n">
        <v>51</v>
      </c>
      <c r="E2185" s="3" t="inlineStr">
        <is>
          <t>S28-51</t>
        </is>
      </c>
    </row>
    <row r="2186">
      <c r="A2186" s="2" t="n">
        <v>47111</v>
      </c>
      <c r="B2186" s="3" t="n">
        <v>2028</v>
      </c>
      <c r="C2186" s="3" t="n">
        <v>12</v>
      </c>
      <c r="D2186" s="3" t="n">
        <v>51</v>
      </c>
      <c r="E2186" s="3" t="inlineStr">
        <is>
          <t>S28-51</t>
        </is>
      </c>
    </row>
    <row r="2187">
      <c r="A2187" s="2" t="n">
        <v>47112</v>
      </c>
      <c r="B2187" s="3" t="n">
        <v>2028</v>
      </c>
      <c r="C2187" s="3" t="n">
        <v>12</v>
      </c>
      <c r="D2187" s="3" t="n">
        <v>52</v>
      </c>
      <c r="E2187" s="3" t="inlineStr">
        <is>
          <t>S28-52</t>
        </is>
      </c>
    </row>
    <row r="2188">
      <c r="A2188" s="2" t="n">
        <v>47113</v>
      </c>
      <c r="B2188" s="3" t="n">
        <v>2028</v>
      </c>
      <c r="C2188" s="3" t="n">
        <v>12</v>
      </c>
      <c r="D2188" s="3" t="n">
        <v>52</v>
      </c>
      <c r="E2188" s="3" t="inlineStr">
        <is>
          <t>S28-52</t>
        </is>
      </c>
    </row>
    <row r="2189">
      <c r="A2189" s="2" t="n">
        <v>47114</v>
      </c>
      <c r="B2189" s="3" t="n">
        <v>2028</v>
      </c>
      <c r="C2189" s="3" t="n">
        <v>12</v>
      </c>
      <c r="D2189" s="3" t="n">
        <v>52</v>
      </c>
      <c r="E2189" s="3" t="inlineStr">
        <is>
          <t>S28-52</t>
        </is>
      </c>
    </row>
    <row r="2190">
      <c r="A2190" s="2" t="n">
        <v>47115</v>
      </c>
      <c r="B2190" s="3" t="n">
        <v>2028</v>
      </c>
      <c r="C2190" s="3" t="n">
        <v>12</v>
      </c>
      <c r="D2190" s="3" t="n">
        <v>52</v>
      </c>
      <c r="E2190" s="3" t="inlineStr">
        <is>
          <t>S28-52</t>
        </is>
      </c>
    </row>
    <row r="2191">
      <c r="A2191" s="2" t="n">
        <v>47116</v>
      </c>
      <c r="B2191" s="3" t="n">
        <v>2028</v>
      </c>
      <c r="C2191" s="3" t="n">
        <v>12</v>
      </c>
      <c r="D2191" s="3" t="n">
        <v>52</v>
      </c>
      <c r="E2191" s="3" t="inlineStr">
        <is>
          <t>S28-52</t>
        </is>
      </c>
    </row>
    <row r="2192">
      <c r="A2192" s="2" t="n">
        <v>47117</v>
      </c>
      <c r="B2192" s="3" t="n">
        <v>2028</v>
      </c>
      <c r="C2192" s="3" t="n">
        <v>12</v>
      </c>
      <c r="D2192" s="3" t="n">
        <v>52</v>
      </c>
      <c r="E2192" s="3" t="inlineStr">
        <is>
          <t>S28-52</t>
        </is>
      </c>
    </row>
    <row r="2193">
      <c r="A2193" s="2" t="n">
        <v>47118</v>
      </c>
      <c r="B2193" s="3" t="n">
        <v>2028</v>
      </c>
      <c r="C2193" s="3" t="n">
        <v>12</v>
      </c>
      <c r="D2193" s="3" t="n">
        <v>52</v>
      </c>
      <c r="E2193" s="3" t="inlineStr">
        <is>
          <t>S28-52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Parcours</t>
        </is>
      </c>
    </row>
    <row r="2">
      <c r="A2" s="3" t="inlineStr">
        <is>
          <t>ETP</t>
        </is>
      </c>
    </row>
    <row r="3">
      <c r="A3" s="3" t="inlineStr">
        <is>
          <t>Polyvalent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1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9" customWidth="1" min="13" max="13"/>
    <col width="21" customWidth="1" min="14" max="14"/>
    <col width="19" customWidth="1" min="15" max="15"/>
    <col width="15" customWidth="1" min="16" max="16"/>
    <col width="15" customWidth="1" min="17" max="17"/>
    <col width="15" customWidth="1" min="18" max="18"/>
    <col width="15" customWidth="1" min="19" max="19"/>
    <col width="19" customWidth="1" min="20" max="20"/>
    <col width="20" customWidth="1" min="21" max="21"/>
    <col width="1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8" customWidth="1" min="27" max="27"/>
    <col width="15" customWidth="1" min="28" max="28"/>
    <col width="15" customWidth="1" min="29" max="29"/>
    <col width="17" customWidth="1" min="30" max="30"/>
    <col width="15" customWidth="1" min="31" max="31"/>
  </cols>
  <sheetData>
    <row r="1">
      <c r="A1" s="1" t="inlineStr">
        <is>
          <t>N_DA</t>
        </is>
      </c>
      <c r="B1" s="1" t="inlineStr">
        <is>
          <t>Patient</t>
        </is>
      </c>
      <c r="C1" s="1" t="inlineStr">
        <is>
          <t>Parcours</t>
        </is>
      </c>
      <c r="D1" s="1" t="inlineStr">
        <is>
          <t>Motif_Hospit</t>
        </is>
      </c>
      <c r="E1" s="1" t="inlineStr">
        <is>
          <t>Pathologie_medicale</t>
        </is>
      </c>
      <c r="F1" s="1" t="inlineStr">
        <is>
          <t>Regime</t>
        </is>
      </c>
      <c r="G1" s="1" t="inlineStr">
        <is>
          <t>Provenance</t>
        </is>
      </c>
      <c r="H1" s="1" t="inlineStr">
        <is>
          <t>Prescripteur</t>
        </is>
      </c>
      <c r="I1" s="1" t="inlineStr">
        <is>
          <t>Date_demande</t>
        </is>
      </c>
      <c r="J1" s="1" t="inlineStr">
        <is>
          <t>Statut</t>
        </is>
      </c>
      <c r="K1" s="1" t="inlineStr">
        <is>
          <t>Mouvements</t>
        </is>
      </c>
      <c r="L1" s="1" t="inlineStr">
        <is>
          <t>Nb_Je_demande</t>
        </is>
      </c>
      <c r="M1" s="1" t="inlineStr">
        <is>
          <t>Cotation_demandee</t>
        </is>
      </c>
      <c r="N1" s="1" t="inlineStr">
        <is>
          <t>Date_debut_demandee</t>
        </is>
      </c>
      <c r="O1" s="1" t="inlineStr">
        <is>
          <t>Date_fin_demandee</t>
        </is>
      </c>
      <c r="P1" s="1" t="inlineStr">
        <is>
          <t>Date_postage</t>
        </is>
      </c>
      <c r="Q1" s="1" t="inlineStr">
        <is>
          <t>Numero_sejour</t>
        </is>
      </c>
      <c r="R1" s="1" t="inlineStr">
        <is>
          <t>PEC</t>
        </is>
      </c>
      <c r="S1" s="1" t="inlineStr">
        <is>
          <t>Nb_Je_Accorde</t>
        </is>
      </c>
      <c r="T1" s="1" t="inlineStr">
        <is>
          <t>Cotation_accordee</t>
        </is>
      </c>
      <c r="U1" s="1" t="inlineStr">
        <is>
          <t>Date_debut_accorde</t>
        </is>
      </c>
      <c r="V1" s="1" t="inlineStr">
        <is>
          <t>Date_fin_accorde</t>
        </is>
      </c>
      <c r="W1" s="1" t="inlineStr">
        <is>
          <t>Date_accord</t>
        </is>
      </c>
      <c r="X1" s="1" t="inlineStr">
        <is>
          <t>Groupe</t>
        </is>
      </c>
      <c r="Y1" s="1" t="inlineStr">
        <is>
          <t>Programme</t>
        </is>
      </c>
      <c r="Z1" s="1" t="inlineStr">
        <is>
          <t>Date_FIN_PEC</t>
        </is>
      </c>
      <c r="AA1" s="1" t="inlineStr">
        <is>
          <t>Cle_Patient_Norm</t>
        </is>
      </c>
      <c r="AB1" s="1" t="inlineStr">
        <is>
          <t>Statut_Exclu</t>
        </is>
      </c>
      <c r="AC1" s="1" t="inlineStr">
        <is>
          <t>Age_sejour</t>
        </is>
      </c>
      <c r="AD1" s="1" t="inlineStr">
        <is>
          <t>Nb_Je_consommes</t>
        </is>
      </c>
      <c r="AE1" s="1" t="inlineStr">
        <is>
          <t>Doublon_N_DA</t>
        </is>
      </c>
    </row>
    <row r="2">
      <c r="A2" s="4" t="n"/>
      <c r="I2" s="5" t="n"/>
      <c r="N2" s="5" t="n"/>
      <c r="O2" s="5" t="n"/>
      <c r="P2" s="5" t="n"/>
      <c r="U2" s="5" t="n"/>
      <c r="V2" s="5" t="n"/>
      <c r="W2" s="5" t="n"/>
      <c r="Z2" s="5" t="n"/>
      <c r="AA2">
        <f>UPPER(TRIM(SUBSTITUTE(SUBSTITUTE(SUBSTITUTE(B2,CHAR(160)," "),"  "," "),"  "," ")))</f>
        <v/>
      </c>
      <c r="AB2">
        <f>IFERROR(_xlfn.XLOOKUP([@Statut],tStatuts[Statut],tStatuts[Exclu_facturation],""),FALSE)</f>
        <v/>
      </c>
      <c r="AC2">
        <f>IF(OR([@Patient]="",[@Date_debut_accorde]=""),"",IFERROR(DATEDIF(_xlfn.XLOOKUP([@Cle_Patient_Norm],tPatients[Cle_Norm],tPatients[Date_naissance],""),[@Date_debut_accorde],"y"),"⚠ naiss. introuvable"))</f>
        <v/>
      </c>
      <c r="AD2">
        <f>COUNTIFS(CONSO_Presences[N_DA],[@N_DA],CONSO_Presences[Est_Present],TRUE)</f>
        <v/>
      </c>
      <c r="AE2">
        <f>IF([@N_DA]="","",IF(COUNTIF(tDA[N_DA],[@N_DA])&gt;1,"DOUBLON",""))</f>
        <v/>
      </c>
    </row>
    <row r="3">
      <c r="A3" s="4" t="n"/>
      <c r="I3" s="5" t="n"/>
      <c r="N3" s="5" t="n"/>
      <c r="O3" s="5" t="n"/>
      <c r="P3" s="5" t="n"/>
      <c r="U3" s="5" t="n"/>
      <c r="V3" s="5" t="n"/>
      <c r="W3" s="5" t="n"/>
      <c r="Z3" s="5" t="n"/>
      <c r="AA3">
        <f>UPPER(TRIM(SUBSTITUTE(SUBSTITUTE(SUBSTITUTE(B3,CHAR(160)," "),"  "," "),"  "," ")))</f>
        <v/>
      </c>
      <c r="AB3">
        <f>IFERROR(_xlfn.XLOOKUP([@Statut],tStatuts[Statut],tStatuts[Exclu_facturation],""),FALSE)</f>
        <v/>
      </c>
      <c r="AC3">
        <f>IF(OR([@Patient]="",[@Date_debut_accorde]=""),"",IFERROR(DATEDIF(_xlfn.XLOOKUP([@Cle_Patient_Norm],tPatients[Cle_Norm],tPatients[Date_naissance],""),[@Date_debut_accorde],"y"),"⚠ naiss. introuvable"))</f>
        <v/>
      </c>
      <c r="AD3">
        <f>COUNTIFS(CONSO_Presences[N_DA],[@N_DA],CONSO_Presences[Est_Present],TRUE)</f>
        <v/>
      </c>
      <c r="AE3">
        <f>IF([@N_DA]="","",IF(COUNTIF(tDA[N_DA],[@N_DA])&gt;1,"DOUBLON",""))</f>
        <v/>
      </c>
    </row>
    <row r="4">
      <c r="A4" s="4" t="n"/>
      <c r="I4" s="5" t="n"/>
      <c r="N4" s="5" t="n"/>
      <c r="O4" s="5" t="n"/>
      <c r="P4" s="5" t="n"/>
      <c r="U4" s="5" t="n"/>
      <c r="V4" s="5" t="n"/>
      <c r="W4" s="5" t="n"/>
      <c r="Z4" s="5" t="n"/>
      <c r="AA4">
        <f>UPPER(TRIM(SUBSTITUTE(SUBSTITUTE(SUBSTITUTE(B4,CHAR(160)," "),"  "," "),"  "," ")))</f>
        <v/>
      </c>
      <c r="AB4">
        <f>IFERROR(_xlfn.XLOOKUP([@Statut],tStatuts[Statut],tStatuts[Exclu_facturation],""),FALSE)</f>
        <v/>
      </c>
      <c r="AC4">
        <f>IF(OR([@Patient]="",[@Date_debut_accorde]=""),"",IFERROR(DATEDIF(_xlfn.XLOOKUP([@Cle_Patient_Norm],tPatients[Cle_Norm],tPatients[Date_naissance],""),[@Date_debut_accorde],"y"),"⚠ naiss. introuvable"))</f>
        <v/>
      </c>
      <c r="AD4">
        <f>COUNTIFS(CONSO_Presences[N_DA],[@N_DA],CONSO_Presences[Est_Present],TRUE)</f>
        <v/>
      </c>
      <c r="AE4">
        <f>IF([@N_DA]="","",IF(COUNTIF(tDA[N_DA],[@N_DA])&gt;1,"DOUBLON",""))</f>
        <v/>
      </c>
    </row>
    <row r="5">
      <c r="A5" s="4" t="n"/>
      <c r="I5" s="5" t="n"/>
      <c r="N5" s="5" t="n"/>
      <c r="O5" s="5" t="n"/>
      <c r="P5" s="5" t="n"/>
      <c r="U5" s="5" t="n"/>
      <c r="V5" s="5" t="n"/>
      <c r="W5" s="5" t="n"/>
      <c r="Z5" s="5" t="n"/>
      <c r="AA5">
        <f>UPPER(TRIM(SUBSTITUTE(SUBSTITUTE(SUBSTITUTE(B5,CHAR(160)," "),"  "," "),"  "," ")))</f>
        <v/>
      </c>
      <c r="AB5">
        <f>IFERROR(_xlfn.XLOOKUP([@Statut],tStatuts[Statut],tStatuts[Exclu_facturation],""),FALSE)</f>
        <v/>
      </c>
      <c r="AC5">
        <f>IF(OR([@Patient]="",[@Date_debut_accorde]=""),"",IFERROR(DATEDIF(_xlfn.XLOOKUP([@Cle_Patient_Norm],tPatients[Cle_Norm],tPatients[Date_naissance],""),[@Date_debut_accorde],"y"),"⚠ naiss. introuvable"))</f>
        <v/>
      </c>
      <c r="AD5">
        <f>COUNTIFS(CONSO_Presences[N_DA],[@N_DA],CONSO_Presences[Est_Present],TRUE)</f>
        <v/>
      </c>
      <c r="AE5">
        <f>IF([@N_DA]="","",IF(COUNTIF(tDA[N_DA],[@N_DA])&gt;1,"DOUBLON",""))</f>
        <v/>
      </c>
    </row>
    <row r="6">
      <c r="A6" s="4" t="n"/>
      <c r="I6" s="5" t="n"/>
      <c r="N6" s="5" t="n"/>
      <c r="O6" s="5" t="n"/>
      <c r="P6" s="5" t="n"/>
      <c r="U6" s="5" t="n"/>
      <c r="V6" s="5" t="n"/>
      <c r="W6" s="5" t="n"/>
      <c r="Z6" s="5" t="n"/>
      <c r="AA6">
        <f>UPPER(TRIM(SUBSTITUTE(SUBSTITUTE(SUBSTITUTE(B6,CHAR(160)," "),"  "," "),"  "," ")))</f>
        <v/>
      </c>
      <c r="AB6">
        <f>IFERROR(_xlfn.XLOOKUP([@Statut],tStatuts[Statut],tStatuts[Exclu_facturation],""),FALSE)</f>
        <v/>
      </c>
      <c r="AC6">
        <f>IF(OR([@Patient]="",[@Date_debut_accorde]=""),"",IFERROR(DATEDIF(_xlfn.XLOOKUP([@Cle_Patient_Norm],tPatients[Cle_Norm],tPatients[Date_naissance],""),[@Date_debut_accorde],"y"),"⚠ naiss. introuvable"))</f>
        <v/>
      </c>
      <c r="AD6">
        <f>COUNTIFS(CONSO_Presences[N_DA],[@N_DA],CONSO_Presences[Est_Present],TRUE)</f>
        <v/>
      </c>
      <c r="AE6">
        <f>IF([@N_DA]="","",IF(COUNTIF(tDA[N_DA],[@N_DA])&gt;1,"DOUBLON",""))</f>
        <v/>
      </c>
    </row>
    <row r="7">
      <c r="A7" s="4" t="n"/>
      <c r="I7" s="5" t="n"/>
      <c r="N7" s="5" t="n"/>
      <c r="O7" s="5" t="n"/>
      <c r="P7" s="5" t="n"/>
      <c r="U7" s="5" t="n"/>
      <c r="V7" s="5" t="n"/>
      <c r="W7" s="5" t="n"/>
      <c r="Z7" s="5" t="n"/>
      <c r="AA7">
        <f>UPPER(TRIM(SUBSTITUTE(SUBSTITUTE(SUBSTITUTE(B7,CHAR(160)," "),"  "," "),"  "," ")))</f>
        <v/>
      </c>
      <c r="AB7">
        <f>IFERROR(_xlfn.XLOOKUP([@Statut],tStatuts[Statut],tStatuts[Exclu_facturation],""),FALSE)</f>
        <v/>
      </c>
      <c r="AC7">
        <f>IF(OR([@Patient]="",[@Date_debut_accorde]=""),"",IFERROR(DATEDIF(_xlfn.XLOOKUP([@Cle_Patient_Norm],tPatients[Cle_Norm],tPatients[Date_naissance],""),[@Date_debut_accorde],"y"),"⚠ naiss. introuvable"))</f>
        <v/>
      </c>
      <c r="AD7">
        <f>COUNTIFS(CONSO_Presences[N_DA],[@N_DA],CONSO_Presences[Est_Present],TRUE)</f>
        <v/>
      </c>
      <c r="AE7">
        <f>IF([@N_DA]="","",IF(COUNTIF(tDA[N_DA],[@N_DA])&gt;1,"DOUBLON",""))</f>
        <v/>
      </c>
    </row>
    <row r="8">
      <c r="A8" s="4" t="n"/>
      <c r="I8" s="5" t="n"/>
      <c r="N8" s="5" t="n"/>
      <c r="O8" s="5" t="n"/>
      <c r="P8" s="5" t="n"/>
      <c r="U8" s="5" t="n"/>
      <c r="V8" s="5" t="n"/>
      <c r="W8" s="5" t="n"/>
      <c r="Z8" s="5" t="n"/>
      <c r="AA8">
        <f>UPPER(TRIM(SUBSTITUTE(SUBSTITUTE(SUBSTITUTE(B8,CHAR(160)," "),"  "," "),"  "," ")))</f>
        <v/>
      </c>
      <c r="AB8">
        <f>IFERROR(_xlfn.XLOOKUP([@Statut],tStatuts[Statut],tStatuts[Exclu_facturation],""),FALSE)</f>
        <v/>
      </c>
      <c r="AC8">
        <f>IF(OR([@Patient]="",[@Date_debut_accorde]=""),"",IFERROR(DATEDIF(_xlfn.XLOOKUP([@Cle_Patient_Norm],tPatients[Cle_Norm],tPatients[Date_naissance],""),[@Date_debut_accorde],"y"),"⚠ naiss. introuvable"))</f>
        <v/>
      </c>
      <c r="AD8">
        <f>COUNTIFS(CONSO_Presences[N_DA],[@N_DA],CONSO_Presences[Est_Present],TRUE)</f>
        <v/>
      </c>
      <c r="AE8">
        <f>IF([@N_DA]="","",IF(COUNTIF(tDA[N_DA],[@N_DA])&gt;1,"DOUBLON",""))</f>
        <v/>
      </c>
    </row>
    <row r="9">
      <c r="A9" s="4" t="n"/>
      <c r="I9" s="5" t="n"/>
      <c r="N9" s="5" t="n"/>
      <c r="O9" s="5" t="n"/>
      <c r="P9" s="5" t="n"/>
      <c r="U9" s="5" t="n"/>
      <c r="V9" s="5" t="n"/>
      <c r="W9" s="5" t="n"/>
      <c r="Z9" s="5" t="n"/>
      <c r="AA9">
        <f>UPPER(TRIM(SUBSTITUTE(SUBSTITUTE(SUBSTITUTE(B9,CHAR(160)," "),"  "," "),"  "," ")))</f>
        <v/>
      </c>
      <c r="AB9">
        <f>IFERROR(_xlfn.XLOOKUP([@Statut],tStatuts[Statut],tStatuts[Exclu_facturation],""),FALSE)</f>
        <v/>
      </c>
      <c r="AC9">
        <f>IF(OR([@Patient]="",[@Date_debut_accorde]=""),"",IFERROR(DATEDIF(_xlfn.XLOOKUP([@Cle_Patient_Norm],tPatients[Cle_Norm],tPatients[Date_naissance],""),[@Date_debut_accorde],"y"),"⚠ naiss. introuvable"))</f>
        <v/>
      </c>
      <c r="AD9">
        <f>COUNTIFS(CONSO_Presences[N_DA],[@N_DA],CONSO_Presences[Est_Present],TRUE)</f>
        <v/>
      </c>
      <c r="AE9">
        <f>IF([@N_DA]="","",IF(COUNTIF(tDA[N_DA],[@N_DA])&gt;1,"DOUBLON",""))</f>
        <v/>
      </c>
    </row>
    <row r="10">
      <c r="A10" s="4" t="n"/>
      <c r="I10" s="5" t="n"/>
      <c r="N10" s="5" t="n"/>
      <c r="O10" s="5" t="n"/>
      <c r="P10" s="5" t="n"/>
      <c r="U10" s="5" t="n"/>
      <c r="V10" s="5" t="n"/>
      <c r="W10" s="5" t="n"/>
      <c r="Z10" s="5" t="n"/>
      <c r="AA10">
        <f>UPPER(TRIM(SUBSTITUTE(SUBSTITUTE(SUBSTITUTE(B10,CHAR(160)," "),"  "," "),"  "," ")))</f>
        <v/>
      </c>
      <c r="AB10">
        <f>IFERROR(_xlfn.XLOOKUP([@Statut],tStatuts[Statut],tStatuts[Exclu_facturation],""),FALSE)</f>
        <v/>
      </c>
      <c r="AC10">
        <f>IF(OR([@Patient]="",[@Date_debut_accorde]=""),"",IFERROR(DATEDIF(_xlfn.XLOOKUP([@Cle_Patient_Norm],tPatients[Cle_Norm],tPatients[Date_naissance],""),[@Date_debut_accorde],"y"),"⚠ naiss. introuvable"))</f>
        <v/>
      </c>
      <c r="AD10">
        <f>COUNTIFS(CONSO_Presences[N_DA],[@N_DA],CONSO_Presences[Est_Present],TRUE)</f>
        <v/>
      </c>
      <c r="AE10">
        <f>IF([@N_DA]="","",IF(COUNTIF(tDA[N_DA],[@N_DA])&gt;1,"DOUBLON",""))</f>
        <v/>
      </c>
    </row>
    <row r="11">
      <c r="A11" s="4" t="n"/>
      <c r="I11" s="5" t="n"/>
      <c r="N11" s="5" t="n"/>
      <c r="O11" s="5" t="n"/>
      <c r="P11" s="5" t="n"/>
      <c r="U11" s="5" t="n"/>
      <c r="V11" s="5" t="n"/>
      <c r="W11" s="5" t="n"/>
      <c r="Z11" s="5" t="n"/>
      <c r="AA11">
        <f>UPPER(TRIM(SUBSTITUTE(SUBSTITUTE(SUBSTITUTE(B11,CHAR(160)," "),"  "," "),"  "," ")))</f>
        <v/>
      </c>
      <c r="AB11">
        <f>IFERROR(_xlfn.XLOOKUP([@Statut],tStatuts[Statut],tStatuts[Exclu_facturation],""),FALSE)</f>
        <v/>
      </c>
      <c r="AC11">
        <f>IF(OR([@Patient]="",[@Date_debut_accorde]=""),"",IFERROR(DATEDIF(_xlfn.XLOOKUP([@Cle_Patient_Norm],tPatients[Cle_Norm],tPatients[Date_naissance],""),[@Date_debut_accorde],"y"),"⚠ naiss. introuvable"))</f>
        <v/>
      </c>
      <c r="AD11">
        <f>COUNTIFS(CONSO_Presences[N_DA],[@N_DA],CONSO_Presences[Est_Present],TRUE)</f>
        <v/>
      </c>
      <c r="AE11">
        <f>IF([@N_DA]="","",IF(COUNTIF(tDA[N_DA],[@N_DA])&gt;1,"DOUBLON",""))</f>
        <v/>
      </c>
    </row>
    <row r="12">
      <c r="A12" s="4" t="n"/>
      <c r="I12" s="5" t="n"/>
      <c r="N12" s="5" t="n"/>
      <c r="O12" s="5" t="n"/>
      <c r="P12" s="5" t="n"/>
      <c r="U12" s="5" t="n"/>
      <c r="V12" s="5" t="n"/>
      <c r="W12" s="5" t="n"/>
      <c r="Z12" s="5" t="n"/>
      <c r="AA12">
        <f>UPPER(TRIM(SUBSTITUTE(SUBSTITUTE(SUBSTITUTE(B12,CHAR(160)," "),"  "," "),"  "," ")))</f>
        <v/>
      </c>
      <c r="AB12">
        <f>IFERROR(_xlfn.XLOOKUP([@Statut],tStatuts[Statut],tStatuts[Exclu_facturation],""),FALSE)</f>
        <v/>
      </c>
      <c r="AC12">
        <f>IF(OR([@Patient]="",[@Date_debut_accorde]=""),"",IFERROR(DATEDIF(_xlfn.XLOOKUP([@Cle_Patient_Norm],tPatients[Cle_Norm],tPatients[Date_naissance],""),[@Date_debut_accorde],"y"),"⚠ naiss. introuvable"))</f>
        <v/>
      </c>
      <c r="AD12">
        <f>COUNTIFS(CONSO_Presences[N_DA],[@N_DA],CONSO_Presences[Est_Present],TRUE)</f>
        <v/>
      </c>
      <c r="AE12">
        <f>IF([@N_DA]="","",IF(COUNTIF(tDA[N_DA],[@N_DA])&gt;1,"DOUBLON",""))</f>
        <v/>
      </c>
    </row>
    <row r="13">
      <c r="A13" s="4" t="n"/>
      <c r="I13" s="5" t="n"/>
      <c r="N13" s="5" t="n"/>
      <c r="O13" s="5" t="n"/>
      <c r="P13" s="5" t="n"/>
      <c r="U13" s="5" t="n"/>
      <c r="V13" s="5" t="n"/>
      <c r="W13" s="5" t="n"/>
      <c r="Z13" s="5" t="n"/>
      <c r="AA13">
        <f>UPPER(TRIM(SUBSTITUTE(SUBSTITUTE(SUBSTITUTE(B13,CHAR(160)," "),"  "," "),"  "," ")))</f>
        <v/>
      </c>
      <c r="AB13">
        <f>IFERROR(_xlfn.XLOOKUP([@Statut],tStatuts[Statut],tStatuts[Exclu_facturation],""),FALSE)</f>
        <v/>
      </c>
      <c r="AC13">
        <f>IF(OR([@Patient]="",[@Date_debut_accorde]=""),"",IFERROR(DATEDIF(_xlfn.XLOOKUP([@Cle_Patient_Norm],tPatients[Cle_Norm],tPatients[Date_naissance],""),[@Date_debut_accorde],"y"),"⚠ naiss. introuvable"))</f>
        <v/>
      </c>
      <c r="AD13">
        <f>COUNTIFS(CONSO_Presences[N_DA],[@N_DA],CONSO_Presences[Est_Present],TRUE)</f>
        <v/>
      </c>
      <c r="AE13">
        <f>IF([@N_DA]="","",IF(COUNTIF(tDA[N_DA],[@N_DA])&gt;1,"DOUBLON",""))</f>
        <v/>
      </c>
    </row>
    <row r="14">
      <c r="A14" s="4" t="n"/>
      <c r="I14" s="5" t="n"/>
      <c r="N14" s="5" t="n"/>
      <c r="O14" s="5" t="n"/>
      <c r="P14" s="5" t="n"/>
      <c r="U14" s="5" t="n"/>
      <c r="V14" s="5" t="n"/>
      <c r="W14" s="5" t="n"/>
      <c r="Z14" s="5" t="n"/>
      <c r="AA14">
        <f>UPPER(TRIM(SUBSTITUTE(SUBSTITUTE(SUBSTITUTE(B14,CHAR(160)," "),"  "," "),"  "," ")))</f>
        <v/>
      </c>
      <c r="AB14">
        <f>IFERROR(_xlfn.XLOOKUP([@Statut],tStatuts[Statut],tStatuts[Exclu_facturation],""),FALSE)</f>
        <v/>
      </c>
      <c r="AC14">
        <f>IF(OR([@Patient]="",[@Date_debut_accorde]=""),"",IFERROR(DATEDIF(_xlfn.XLOOKUP([@Cle_Patient_Norm],tPatients[Cle_Norm],tPatients[Date_naissance],""),[@Date_debut_accorde],"y"),"⚠ naiss. introuvable"))</f>
        <v/>
      </c>
      <c r="AD14">
        <f>COUNTIFS(CONSO_Presences[N_DA],[@N_DA],CONSO_Presences[Est_Present],TRUE)</f>
        <v/>
      </c>
      <c r="AE14">
        <f>IF([@N_DA]="","",IF(COUNTIF(tDA[N_DA],[@N_DA])&gt;1,"DOUBLON",""))</f>
        <v/>
      </c>
    </row>
    <row r="15">
      <c r="A15" s="4" t="n"/>
      <c r="I15" s="5" t="n"/>
      <c r="N15" s="5" t="n"/>
      <c r="O15" s="5" t="n"/>
      <c r="P15" s="5" t="n"/>
      <c r="U15" s="5" t="n"/>
      <c r="V15" s="5" t="n"/>
      <c r="W15" s="5" t="n"/>
      <c r="Z15" s="5" t="n"/>
      <c r="AA15">
        <f>UPPER(TRIM(SUBSTITUTE(SUBSTITUTE(SUBSTITUTE(B15,CHAR(160)," "),"  "," "),"  "," ")))</f>
        <v/>
      </c>
      <c r="AB15">
        <f>IFERROR(_xlfn.XLOOKUP([@Statut],tStatuts[Statut],tStatuts[Exclu_facturation],""),FALSE)</f>
        <v/>
      </c>
      <c r="AC15">
        <f>IF(OR([@Patient]="",[@Date_debut_accorde]=""),"",IFERROR(DATEDIF(_xlfn.XLOOKUP([@Cle_Patient_Norm],tPatients[Cle_Norm],tPatients[Date_naissance],""),[@Date_debut_accorde],"y"),"⚠ naiss. introuvable"))</f>
        <v/>
      </c>
      <c r="AD15">
        <f>COUNTIFS(CONSO_Presences[N_DA],[@N_DA],CONSO_Presences[Est_Present],TRUE)</f>
        <v/>
      </c>
      <c r="AE15">
        <f>IF([@N_DA]="","",IF(COUNTIF(tDA[N_DA],[@N_DA])&gt;1,"DOUBLON",""))</f>
        <v/>
      </c>
    </row>
    <row r="16">
      <c r="A16" s="4" t="n"/>
      <c r="I16" s="5" t="n"/>
      <c r="N16" s="5" t="n"/>
      <c r="O16" s="5" t="n"/>
      <c r="P16" s="5" t="n"/>
      <c r="U16" s="5" t="n"/>
      <c r="V16" s="5" t="n"/>
      <c r="W16" s="5" t="n"/>
      <c r="Z16" s="5" t="n"/>
      <c r="AA16">
        <f>UPPER(TRIM(SUBSTITUTE(SUBSTITUTE(SUBSTITUTE(B16,CHAR(160)," "),"  "," "),"  "," ")))</f>
        <v/>
      </c>
      <c r="AB16">
        <f>IFERROR(_xlfn.XLOOKUP([@Statut],tStatuts[Statut],tStatuts[Exclu_facturation],""),FALSE)</f>
        <v/>
      </c>
      <c r="AC16">
        <f>IF(OR([@Patient]="",[@Date_debut_accorde]=""),"",IFERROR(DATEDIF(_xlfn.XLOOKUP([@Cle_Patient_Norm],tPatients[Cle_Norm],tPatients[Date_naissance],""),[@Date_debut_accorde],"y"),"⚠ naiss. introuvable"))</f>
        <v/>
      </c>
      <c r="AD16">
        <f>COUNTIFS(CONSO_Presences[N_DA],[@N_DA],CONSO_Presences[Est_Present],TRUE)</f>
        <v/>
      </c>
      <c r="AE16">
        <f>IF([@N_DA]="","",IF(COUNTIF(tDA[N_DA],[@N_DA])&gt;1,"DOUBLON",""))</f>
        <v/>
      </c>
    </row>
    <row r="17">
      <c r="A17" s="4" t="n"/>
      <c r="I17" s="5" t="n"/>
      <c r="N17" s="5" t="n"/>
      <c r="O17" s="5" t="n"/>
      <c r="P17" s="5" t="n"/>
      <c r="U17" s="5" t="n"/>
      <c r="V17" s="5" t="n"/>
      <c r="W17" s="5" t="n"/>
      <c r="Z17" s="5" t="n"/>
      <c r="AA17">
        <f>UPPER(TRIM(SUBSTITUTE(SUBSTITUTE(SUBSTITUTE(B17,CHAR(160)," "),"  "," "),"  "," ")))</f>
        <v/>
      </c>
      <c r="AB17">
        <f>IFERROR(_xlfn.XLOOKUP([@Statut],tStatuts[Statut],tStatuts[Exclu_facturation],""),FALSE)</f>
        <v/>
      </c>
      <c r="AC17">
        <f>IF(OR([@Patient]="",[@Date_debut_accorde]=""),"",IFERROR(DATEDIF(_xlfn.XLOOKUP([@Cle_Patient_Norm],tPatients[Cle_Norm],tPatients[Date_naissance],""),[@Date_debut_accorde],"y"),"⚠ naiss. introuvable"))</f>
        <v/>
      </c>
      <c r="AD17">
        <f>COUNTIFS(CONSO_Presences[N_DA],[@N_DA],CONSO_Presences[Est_Present],TRUE)</f>
        <v/>
      </c>
      <c r="AE17">
        <f>IF([@N_DA]="","",IF(COUNTIF(tDA[N_DA],[@N_DA])&gt;1,"DOUBLON",""))</f>
        <v/>
      </c>
    </row>
    <row r="18">
      <c r="A18" s="4" t="n"/>
      <c r="I18" s="5" t="n"/>
      <c r="N18" s="5" t="n"/>
      <c r="O18" s="5" t="n"/>
      <c r="P18" s="5" t="n"/>
      <c r="U18" s="5" t="n"/>
      <c r="V18" s="5" t="n"/>
      <c r="W18" s="5" t="n"/>
      <c r="Z18" s="5" t="n"/>
      <c r="AA18">
        <f>UPPER(TRIM(SUBSTITUTE(SUBSTITUTE(SUBSTITUTE(B18,CHAR(160)," "),"  "," "),"  "," ")))</f>
        <v/>
      </c>
      <c r="AB18">
        <f>IFERROR(_xlfn.XLOOKUP([@Statut],tStatuts[Statut],tStatuts[Exclu_facturation],""),FALSE)</f>
        <v/>
      </c>
      <c r="AC18">
        <f>IF(OR([@Patient]="",[@Date_debut_accorde]=""),"",IFERROR(DATEDIF(_xlfn.XLOOKUP([@Cle_Patient_Norm],tPatients[Cle_Norm],tPatients[Date_naissance],""),[@Date_debut_accorde],"y"),"⚠ naiss. introuvable"))</f>
        <v/>
      </c>
      <c r="AD18">
        <f>COUNTIFS(CONSO_Presences[N_DA],[@N_DA],CONSO_Presences[Est_Present],TRUE)</f>
        <v/>
      </c>
      <c r="AE18">
        <f>IF([@N_DA]="","",IF(COUNTIF(tDA[N_DA],[@N_DA])&gt;1,"DOUBLON",""))</f>
        <v/>
      </c>
    </row>
    <row r="19">
      <c r="A19" s="4" t="n"/>
      <c r="I19" s="5" t="n"/>
      <c r="N19" s="5" t="n"/>
      <c r="O19" s="5" t="n"/>
      <c r="P19" s="5" t="n"/>
      <c r="U19" s="5" t="n"/>
      <c r="V19" s="5" t="n"/>
      <c r="W19" s="5" t="n"/>
      <c r="Z19" s="5" t="n"/>
      <c r="AA19">
        <f>UPPER(TRIM(SUBSTITUTE(SUBSTITUTE(SUBSTITUTE(B19,CHAR(160)," "),"  "," "),"  "," ")))</f>
        <v/>
      </c>
      <c r="AB19">
        <f>IFERROR(_xlfn.XLOOKUP([@Statut],tStatuts[Statut],tStatuts[Exclu_facturation],""),FALSE)</f>
        <v/>
      </c>
      <c r="AC19">
        <f>IF(OR([@Patient]="",[@Date_debut_accorde]=""),"",IFERROR(DATEDIF(_xlfn.XLOOKUP([@Cle_Patient_Norm],tPatients[Cle_Norm],tPatients[Date_naissance],""),[@Date_debut_accorde],"y"),"⚠ naiss. introuvable"))</f>
        <v/>
      </c>
      <c r="AD19">
        <f>COUNTIFS(CONSO_Presences[N_DA],[@N_DA],CONSO_Presences[Est_Present],TRUE)</f>
        <v/>
      </c>
      <c r="AE19">
        <f>IF([@N_DA]="","",IF(COUNTIF(tDA[N_DA],[@N_DA])&gt;1,"DOUBLON",""))</f>
        <v/>
      </c>
    </row>
    <row r="20">
      <c r="A20" s="4" t="n"/>
      <c r="I20" s="5" t="n"/>
      <c r="N20" s="5" t="n"/>
      <c r="O20" s="5" t="n"/>
      <c r="P20" s="5" t="n"/>
      <c r="U20" s="5" t="n"/>
      <c r="V20" s="5" t="n"/>
      <c r="W20" s="5" t="n"/>
      <c r="Z20" s="5" t="n"/>
      <c r="AA20">
        <f>UPPER(TRIM(SUBSTITUTE(SUBSTITUTE(SUBSTITUTE(B20,CHAR(160)," "),"  "," "),"  "," ")))</f>
        <v/>
      </c>
      <c r="AB20">
        <f>IFERROR(_xlfn.XLOOKUP([@Statut],tStatuts[Statut],tStatuts[Exclu_facturation],""),FALSE)</f>
        <v/>
      </c>
      <c r="AC20">
        <f>IF(OR([@Patient]="",[@Date_debut_accorde]=""),"",IFERROR(DATEDIF(_xlfn.XLOOKUP([@Cle_Patient_Norm],tPatients[Cle_Norm],tPatients[Date_naissance],""),[@Date_debut_accorde],"y"),"⚠ naiss. introuvable"))</f>
        <v/>
      </c>
      <c r="AD20">
        <f>COUNTIFS(CONSO_Presences[N_DA],[@N_DA],CONSO_Presences[Est_Present],TRUE)</f>
        <v/>
      </c>
      <c r="AE20">
        <f>IF([@N_DA]="","",IF(COUNTIF(tDA[N_DA],[@N_DA])&gt;1,"DOUBLON",""))</f>
        <v/>
      </c>
    </row>
    <row r="21">
      <c r="A21" s="4" t="n"/>
      <c r="I21" s="5" t="n"/>
      <c r="N21" s="5" t="n"/>
      <c r="O21" s="5" t="n"/>
      <c r="P21" s="5" t="n"/>
      <c r="U21" s="5" t="n"/>
      <c r="V21" s="5" t="n"/>
      <c r="W21" s="5" t="n"/>
      <c r="Z21" s="5" t="n"/>
      <c r="AA21">
        <f>UPPER(TRIM(SUBSTITUTE(SUBSTITUTE(SUBSTITUTE(B21,CHAR(160)," "),"  "," "),"  "," ")))</f>
        <v/>
      </c>
      <c r="AB21">
        <f>IFERROR(_xlfn.XLOOKUP([@Statut],tStatuts[Statut],tStatuts[Exclu_facturation],""),FALSE)</f>
        <v/>
      </c>
      <c r="AC21">
        <f>IF(OR([@Patient]="",[@Date_debut_accorde]=""),"",IFERROR(DATEDIF(_xlfn.XLOOKUP([@Cle_Patient_Norm],tPatients[Cle_Norm],tPatients[Date_naissance],""),[@Date_debut_accorde],"y"),"⚠ naiss. introuvable"))</f>
        <v/>
      </c>
      <c r="AD21">
        <f>COUNTIFS(CONSO_Presences[N_DA],[@N_DA],CONSO_Presences[Est_Present],TRUE)</f>
        <v/>
      </c>
      <c r="AE21">
        <f>IF([@N_DA]="","",IF(COUNTIF(tDA[N_DA],[@N_DA])&gt;1,"DOUBLON",""))</f>
        <v/>
      </c>
    </row>
    <row r="22">
      <c r="A22" s="4" t="n"/>
      <c r="I22" s="5" t="n"/>
      <c r="N22" s="5" t="n"/>
      <c r="O22" s="5" t="n"/>
      <c r="P22" s="5" t="n"/>
      <c r="U22" s="5" t="n"/>
      <c r="V22" s="5" t="n"/>
      <c r="W22" s="5" t="n"/>
      <c r="Z22" s="5" t="n"/>
      <c r="AA22">
        <f>UPPER(TRIM(SUBSTITUTE(SUBSTITUTE(SUBSTITUTE(B22,CHAR(160)," "),"  "," "),"  "," ")))</f>
        <v/>
      </c>
      <c r="AB22">
        <f>IFERROR(_xlfn.XLOOKUP([@Statut],tStatuts[Statut],tStatuts[Exclu_facturation],""),FALSE)</f>
        <v/>
      </c>
      <c r="AC22">
        <f>IF(OR([@Patient]="",[@Date_debut_accorde]=""),"",IFERROR(DATEDIF(_xlfn.XLOOKUP([@Cle_Patient_Norm],tPatients[Cle_Norm],tPatients[Date_naissance],""),[@Date_debut_accorde],"y"),"⚠ naiss. introuvable"))</f>
        <v/>
      </c>
      <c r="AD22">
        <f>COUNTIFS(CONSO_Presences[N_DA],[@N_DA],CONSO_Presences[Est_Present],TRUE)</f>
        <v/>
      </c>
      <c r="AE22">
        <f>IF([@N_DA]="","",IF(COUNTIF(tDA[N_DA],[@N_DA])&gt;1,"DOUBLON",""))</f>
        <v/>
      </c>
    </row>
    <row r="23">
      <c r="A23" s="4" t="n"/>
      <c r="I23" s="5" t="n"/>
      <c r="N23" s="5" t="n"/>
      <c r="O23" s="5" t="n"/>
      <c r="P23" s="5" t="n"/>
      <c r="U23" s="5" t="n"/>
      <c r="V23" s="5" t="n"/>
      <c r="W23" s="5" t="n"/>
      <c r="Z23" s="5" t="n"/>
      <c r="AA23">
        <f>UPPER(TRIM(SUBSTITUTE(SUBSTITUTE(SUBSTITUTE(B23,CHAR(160)," "),"  "," "),"  "," ")))</f>
        <v/>
      </c>
      <c r="AB23">
        <f>IFERROR(_xlfn.XLOOKUP([@Statut],tStatuts[Statut],tStatuts[Exclu_facturation],""),FALSE)</f>
        <v/>
      </c>
      <c r="AC23">
        <f>IF(OR([@Patient]="",[@Date_debut_accorde]=""),"",IFERROR(DATEDIF(_xlfn.XLOOKUP([@Cle_Patient_Norm],tPatients[Cle_Norm],tPatients[Date_naissance],""),[@Date_debut_accorde],"y"),"⚠ naiss. introuvable"))</f>
        <v/>
      </c>
      <c r="AD23">
        <f>COUNTIFS(CONSO_Presences[N_DA],[@N_DA],CONSO_Presences[Est_Present],TRUE)</f>
        <v/>
      </c>
      <c r="AE23">
        <f>IF([@N_DA]="","",IF(COUNTIF(tDA[N_DA],[@N_DA])&gt;1,"DOUBLON",""))</f>
        <v/>
      </c>
    </row>
    <row r="24">
      <c r="A24" s="4" t="n"/>
      <c r="I24" s="5" t="n"/>
      <c r="N24" s="5" t="n"/>
      <c r="O24" s="5" t="n"/>
      <c r="P24" s="5" t="n"/>
      <c r="U24" s="5" t="n"/>
      <c r="V24" s="5" t="n"/>
      <c r="W24" s="5" t="n"/>
      <c r="Z24" s="5" t="n"/>
      <c r="AA24">
        <f>UPPER(TRIM(SUBSTITUTE(SUBSTITUTE(SUBSTITUTE(B24,CHAR(160)," "),"  "," "),"  "," ")))</f>
        <v/>
      </c>
      <c r="AB24">
        <f>IFERROR(_xlfn.XLOOKUP([@Statut],tStatuts[Statut],tStatuts[Exclu_facturation],""),FALSE)</f>
        <v/>
      </c>
      <c r="AC24">
        <f>IF(OR([@Patient]="",[@Date_debut_accorde]=""),"",IFERROR(DATEDIF(_xlfn.XLOOKUP([@Cle_Patient_Norm],tPatients[Cle_Norm],tPatients[Date_naissance],""),[@Date_debut_accorde],"y"),"⚠ naiss. introuvable"))</f>
        <v/>
      </c>
      <c r="AD24">
        <f>COUNTIFS(CONSO_Presences[N_DA],[@N_DA],CONSO_Presences[Est_Present],TRUE)</f>
        <v/>
      </c>
      <c r="AE24">
        <f>IF([@N_DA]="","",IF(COUNTIF(tDA[N_DA],[@N_DA])&gt;1,"DOUBLON",""))</f>
        <v/>
      </c>
    </row>
    <row r="25">
      <c r="A25" s="4" t="n"/>
      <c r="I25" s="5" t="n"/>
      <c r="N25" s="5" t="n"/>
      <c r="O25" s="5" t="n"/>
      <c r="P25" s="5" t="n"/>
      <c r="U25" s="5" t="n"/>
      <c r="V25" s="5" t="n"/>
      <c r="W25" s="5" t="n"/>
      <c r="Z25" s="5" t="n"/>
      <c r="AA25">
        <f>UPPER(TRIM(SUBSTITUTE(SUBSTITUTE(SUBSTITUTE(B25,CHAR(160)," "),"  "," "),"  "," ")))</f>
        <v/>
      </c>
      <c r="AB25">
        <f>IFERROR(_xlfn.XLOOKUP([@Statut],tStatuts[Statut],tStatuts[Exclu_facturation],""),FALSE)</f>
        <v/>
      </c>
      <c r="AC25">
        <f>IF(OR([@Patient]="",[@Date_debut_accorde]=""),"",IFERROR(DATEDIF(_xlfn.XLOOKUP([@Cle_Patient_Norm],tPatients[Cle_Norm],tPatients[Date_naissance],""),[@Date_debut_accorde],"y"),"⚠ naiss. introuvable"))</f>
        <v/>
      </c>
      <c r="AD25">
        <f>COUNTIFS(CONSO_Presences[N_DA],[@N_DA],CONSO_Presences[Est_Present],TRUE)</f>
        <v/>
      </c>
      <c r="AE25">
        <f>IF([@N_DA]="","",IF(COUNTIF(tDA[N_DA],[@N_DA])&gt;1,"DOUBLON",""))</f>
        <v/>
      </c>
    </row>
    <row r="26">
      <c r="A26" s="4" t="n"/>
      <c r="I26" s="5" t="n"/>
      <c r="N26" s="5" t="n"/>
      <c r="O26" s="5" t="n"/>
      <c r="P26" s="5" t="n"/>
      <c r="U26" s="5" t="n"/>
      <c r="V26" s="5" t="n"/>
      <c r="W26" s="5" t="n"/>
      <c r="Z26" s="5" t="n"/>
      <c r="AA26">
        <f>UPPER(TRIM(SUBSTITUTE(SUBSTITUTE(SUBSTITUTE(B26,CHAR(160)," "),"  "," "),"  "," ")))</f>
        <v/>
      </c>
      <c r="AB26">
        <f>IFERROR(_xlfn.XLOOKUP([@Statut],tStatuts[Statut],tStatuts[Exclu_facturation],""),FALSE)</f>
        <v/>
      </c>
      <c r="AC26">
        <f>IF(OR([@Patient]="",[@Date_debut_accorde]=""),"",IFERROR(DATEDIF(_xlfn.XLOOKUP([@Cle_Patient_Norm],tPatients[Cle_Norm],tPatients[Date_naissance],""),[@Date_debut_accorde],"y"),"⚠ naiss. introuvable"))</f>
        <v/>
      </c>
      <c r="AD26">
        <f>COUNTIFS(CONSO_Presences[N_DA],[@N_DA],CONSO_Presences[Est_Present],TRUE)</f>
        <v/>
      </c>
      <c r="AE26">
        <f>IF([@N_DA]="","",IF(COUNTIF(tDA[N_DA],[@N_DA])&gt;1,"DOUBLON",""))</f>
        <v/>
      </c>
    </row>
    <row r="27">
      <c r="A27" s="4" t="n"/>
      <c r="I27" s="5" t="n"/>
      <c r="N27" s="5" t="n"/>
      <c r="O27" s="5" t="n"/>
      <c r="P27" s="5" t="n"/>
      <c r="U27" s="5" t="n"/>
      <c r="V27" s="5" t="n"/>
      <c r="W27" s="5" t="n"/>
      <c r="Z27" s="5" t="n"/>
      <c r="AA27">
        <f>UPPER(TRIM(SUBSTITUTE(SUBSTITUTE(SUBSTITUTE(B27,CHAR(160)," "),"  "," "),"  "," ")))</f>
        <v/>
      </c>
      <c r="AB27">
        <f>IFERROR(_xlfn.XLOOKUP([@Statut],tStatuts[Statut],tStatuts[Exclu_facturation],""),FALSE)</f>
        <v/>
      </c>
      <c r="AC27">
        <f>IF(OR([@Patient]="",[@Date_debut_accorde]=""),"",IFERROR(DATEDIF(_xlfn.XLOOKUP([@Cle_Patient_Norm],tPatients[Cle_Norm],tPatients[Date_naissance],""),[@Date_debut_accorde],"y"),"⚠ naiss. introuvable"))</f>
        <v/>
      </c>
      <c r="AD27">
        <f>COUNTIFS(CONSO_Presences[N_DA],[@N_DA],CONSO_Presences[Est_Present],TRUE)</f>
        <v/>
      </c>
      <c r="AE27">
        <f>IF([@N_DA]="","",IF(COUNTIF(tDA[N_DA],[@N_DA])&gt;1,"DOUBLON",""))</f>
        <v/>
      </c>
    </row>
    <row r="28">
      <c r="A28" s="4" t="n"/>
      <c r="I28" s="5" t="n"/>
      <c r="N28" s="5" t="n"/>
      <c r="O28" s="5" t="n"/>
      <c r="P28" s="5" t="n"/>
      <c r="U28" s="5" t="n"/>
      <c r="V28" s="5" t="n"/>
      <c r="W28" s="5" t="n"/>
      <c r="Z28" s="5" t="n"/>
      <c r="AA28">
        <f>UPPER(TRIM(SUBSTITUTE(SUBSTITUTE(SUBSTITUTE(B28,CHAR(160)," "),"  "," "),"  "," ")))</f>
        <v/>
      </c>
      <c r="AB28">
        <f>IFERROR(_xlfn.XLOOKUP([@Statut],tStatuts[Statut],tStatuts[Exclu_facturation],""),FALSE)</f>
        <v/>
      </c>
      <c r="AC28">
        <f>IF(OR([@Patient]="",[@Date_debut_accorde]=""),"",IFERROR(DATEDIF(_xlfn.XLOOKUP([@Cle_Patient_Norm],tPatients[Cle_Norm],tPatients[Date_naissance],""),[@Date_debut_accorde],"y"),"⚠ naiss. introuvable"))</f>
        <v/>
      </c>
      <c r="AD28">
        <f>COUNTIFS(CONSO_Presences[N_DA],[@N_DA],CONSO_Presences[Est_Present],TRUE)</f>
        <v/>
      </c>
      <c r="AE28">
        <f>IF([@N_DA]="","",IF(COUNTIF(tDA[N_DA],[@N_DA])&gt;1,"DOUBLON",""))</f>
        <v/>
      </c>
    </row>
    <row r="29">
      <c r="A29" s="4" t="n"/>
      <c r="I29" s="5" t="n"/>
      <c r="N29" s="5" t="n"/>
      <c r="O29" s="5" t="n"/>
      <c r="P29" s="5" t="n"/>
      <c r="U29" s="5" t="n"/>
      <c r="V29" s="5" t="n"/>
      <c r="W29" s="5" t="n"/>
      <c r="Z29" s="5" t="n"/>
      <c r="AA29">
        <f>UPPER(TRIM(SUBSTITUTE(SUBSTITUTE(SUBSTITUTE(B29,CHAR(160)," "),"  "," "),"  "," ")))</f>
        <v/>
      </c>
      <c r="AB29">
        <f>IFERROR(_xlfn.XLOOKUP([@Statut],tStatuts[Statut],tStatuts[Exclu_facturation],""),FALSE)</f>
        <v/>
      </c>
      <c r="AC29">
        <f>IF(OR([@Patient]="",[@Date_debut_accorde]=""),"",IFERROR(DATEDIF(_xlfn.XLOOKUP([@Cle_Patient_Norm],tPatients[Cle_Norm],tPatients[Date_naissance],""),[@Date_debut_accorde],"y"),"⚠ naiss. introuvable"))</f>
        <v/>
      </c>
      <c r="AD29">
        <f>COUNTIFS(CONSO_Presences[N_DA],[@N_DA],CONSO_Presences[Est_Present],TRUE)</f>
        <v/>
      </c>
      <c r="AE29">
        <f>IF([@N_DA]="","",IF(COUNTIF(tDA[N_DA],[@N_DA])&gt;1,"DOUBLON",""))</f>
        <v/>
      </c>
    </row>
    <row r="30">
      <c r="A30" s="4" t="n"/>
      <c r="I30" s="5" t="n"/>
      <c r="N30" s="5" t="n"/>
      <c r="O30" s="5" t="n"/>
      <c r="P30" s="5" t="n"/>
      <c r="U30" s="5" t="n"/>
      <c r="V30" s="5" t="n"/>
      <c r="W30" s="5" t="n"/>
      <c r="Z30" s="5" t="n"/>
      <c r="AA30">
        <f>UPPER(TRIM(SUBSTITUTE(SUBSTITUTE(SUBSTITUTE(B30,CHAR(160)," "),"  "," "),"  "," ")))</f>
        <v/>
      </c>
      <c r="AB30">
        <f>IFERROR(_xlfn.XLOOKUP([@Statut],tStatuts[Statut],tStatuts[Exclu_facturation],""),FALSE)</f>
        <v/>
      </c>
      <c r="AC30">
        <f>IF(OR([@Patient]="",[@Date_debut_accorde]=""),"",IFERROR(DATEDIF(_xlfn.XLOOKUP([@Cle_Patient_Norm],tPatients[Cle_Norm],tPatients[Date_naissance],""),[@Date_debut_accorde],"y"),"⚠ naiss. introuvable"))</f>
        <v/>
      </c>
      <c r="AD30">
        <f>COUNTIFS(CONSO_Presences[N_DA],[@N_DA],CONSO_Presences[Est_Present],TRUE)</f>
        <v/>
      </c>
      <c r="AE30">
        <f>IF([@N_DA]="","",IF(COUNTIF(tDA[N_DA],[@N_DA])&gt;1,"DOUBLON",""))</f>
        <v/>
      </c>
    </row>
    <row r="31">
      <c r="A31" s="4" t="n"/>
      <c r="I31" s="5" t="n"/>
      <c r="N31" s="5" t="n"/>
      <c r="O31" s="5" t="n"/>
      <c r="P31" s="5" t="n"/>
      <c r="U31" s="5" t="n"/>
      <c r="V31" s="5" t="n"/>
      <c r="W31" s="5" t="n"/>
      <c r="Z31" s="5" t="n"/>
      <c r="AA31">
        <f>UPPER(TRIM(SUBSTITUTE(SUBSTITUTE(SUBSTITUTE(B31,CHAR(160)," "),"  "," "),"  "," ")))</f>
        <v/>
      </c>
      <c r="AB31">
        <f>IFERROR(_xlfn.XLOOKUP([@Statut],tStatuts[Statut],tStatuts[Exclu_facturation],""),FALSE)</f>
        <v/>
      </c>
      <c r="AC31">
        <f>IF(OR([@Patient]="",[@Date_debut_accorde]=""),"",IFERROR(DATEDIF(_xlfn.XLOOKUP([@Cle_Patient_Norm],tPatients[Cle_Norm],tPatients[Date_naissance],""),[@Date_debut_accorde],"y"),"⚠ naiss. introuvable"))</f>
        <v/>
      </c>
      <c r="AD31">
        <f>COUNTIFS(CONSO_Presences[N_DA],[@N_DA],CONSO_Presences[Est_Present],TRUE)</f>
        <v/>
      </c>
      <c r="AE31">
        <f>IF([@N_DA]="","",IF(COUNTIF(tDA[N_DA],[@N_DA])&gt;1,"DOUBLON",""))</f>
        <v/>
      </c>
    </row>
  </sheetData>
  <conditionalFormatting sqref="A2:AE31">
    <cfRule type="expression" priority="1" dxfId="0">
      <formula>$AE2="DOUBLON"</formula>
    </cfRule>
  </conditionalFormatting>
  <dataValidations count="12">
    <dataValidation sqref="B2:B31" showDropDown="0" showInputMessage="0" showErrorMessage="0" allowBlank="1" errorTitle="Hors référentiel" error="Valeur hors liste — saisie autorisée, ligne signalée." type="list" errorStyle="warning">
      <formula1>=nrPatients</formula1>
    </dataValidation>
    <dataValidation sqref="C2:C31" showDropDown="0" showInputMessage="0" showErrorMessage="0" allowBlank="1" type="list" errorStyle="stop">
      <formula1>=nrParcours</formula1>
    </dataValidation>
    <dataValidation sqref="D2:D31" showDropDown="0" showInputMessage="0" showErrorMessage="0" allowBlank="1" type="list" errorStyle="stop">
      <formula1>=nrMotifHospit</formula1>
    </dataValidation>
    <dataValidation sqref="E2:E31" showDropDown="0" showInputMessage="0" showErrorMessage="0" allowBlank="1" type="list" errorStyle="stop">
      <formula1>=nrPathologies</formula1>
    </dataValidation>
    <dataValidation sqref="F2:F31" showDropDown="0" showInputMessage="0" showErrorMessage="0" allowBlank="1" type="list" errorStyle="stop">
      <formula1>=nrRegimes</formula1>
    </dataValidation>
    <dataValidation sqref="G2:G31" showDropDown="0" showInputMessage="0" showErrorMessage="0" allowBlank="1" type="list" errorStyle="stop">
      <formula1>=nrProvenances</formula1>
    </dataValidation>
    <dataValidation sqref="H2:H31" showDropDown="0" showInputMessage="0" showErrorMessage="0" allowBlank="1" type="list" errorStyle="stop">
      <formula1>=nrPrescripteurs</formula1>
    </dataValidation>
    <dataValidation sqref="J2:J31" showDropDown="0" showInputMessage="0" showErrorMessage="0" allowBlank="1" type="list" errorStyle="stop">
      <formula1>=nrStatuts</formula1>
    </dataValidation>
    <dataValidation sqref="K2:K31" showDropDown="0" showInputMessage="0" showErrorMessage="0" allowBlank="1" type="list" errorStyle="stop">
      <formula1>=nrMouvements</formula1>
    </dataValidation>
    <dataValidation sqref="M2:M31" showDropDown="0" showInputMessage="0" showErrorMessage="0" allowBlank="1" type="list" errorStyle="stop">
      <formula1>=nrCotations</formula1>
    </dataValidation>
    <dataValidation sqref="T2:T31" showDropDown="0" showInputMessage="0" showErrorMessage="0" allowBlank="1" type="list" errorStyle="stop">
      <formula1>=nrCotations</formula1>
    </dataValidation>
    <dataValidation sqref="X2:X31" showDropDown="0" showInputMessage="0" showErrorMessage="0" allowBlank="1" type="list" errorStyle="stop">
      <formula1>=nrGroupes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8" customWidth="1" min="5" max="5"/>
    <col width="14" customWidth="1" min="6" max="6"/>
    <col width="14" customWidth="1" min="7" max="7"/>
    <col width="19" customWidth="1" min="8" max="8"/>
    <col width="14" customWidth="1" min="9" max="9"/>
    <col width="14" customWidth="1" min="10" max="10"/>
    <col width="16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Patient</t>
        </is>
      </c>
      <c r="B1" s="1" t="inlineStr">
        <is>
          <t>Date</t>
        </is>
      </c>
      <c r="C1" s="1" t="inlineStr">
        <is>
          <t>Programmation</t>
        </is>
      </c>
      <c r="D1" s="1" t="inlineStr">
        <is>
          <t>Parcours</t>
        </is>
      </c>
      <c r="E1" s="1" t="inlineStr">
        <is>
          <t>Cle_Patient_Norm</t>
        </is>
      </c>
      <c r="F1" s="1" t="inlineStr">
        <is>
          <t>Est_Present</t>
        </is>
      </c>
      <c r="G1" s="1" t="inlineStr">
        <is>
          <t>N_DA</t>
        </is>
      </c>
      <c r="H1" s="1" t="inlineStr">
        <is>
          <t>Statut_Resolution</t>
        </is>
      </c>
      <c r="I1" s="1" t="inlineStr">
        <is>
          <t>Cotation</t>
        </is>
      </c>
      <c r="J1" s="1" t="inlineStr">
        <is>
          <t>Regime</t>
        </is>
      </c>
      <c r="K1" s="1" t="inlineStr">
        <is>
          <t>Nb_Je_accordes</t>
        </is>
      </c>
      <c r="L1" s="1" t="inlineStr">
        <is>
          <t>PEC</t>
        </is>
      </c>
      <c r="M1" s="1" t="inlineStr">
        <is>
          <t>Groupe</t>
        </is>
      </c>
      <c r="N1" s="1" t="inlineStr">
        <is>
          <t>Semaine</t>
        </is>
      </c>
      <c r="O1" s="1" t="inlineStr">
        <is>
          <t>Mois</t>
        </is>
      </c>
      <c r="P1" s="1" t="inlineStr">
        <is>
          <t>Doublon_Cle</t>
        </is>
      </c>
    </row>
    <row r="2">
      <c r="B2" s="5" t="n"/>
      <c r="E2">
        <f>UPPER(TRIM(SUBSTITUTE(SUBSTITUTE(SUBSTITUTE(A2,CHAR(160)," "),"  "," "),"  "," ")))</f>
        <v/>
      </c>
      <c r="F2">
        <f>IF([@Programmation]="","",IFERROR(_xlfn.XLOOKUP([@Programmation],tProgrammation[Programmation],tProgrammation[Compte_Present],FALSE),FALSE))</f>
        <v/>
      </c>
      <c r="G2" s="4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2">
        <f>IF([@N_DA]="","",IF(LEFT([@N_DA],1)="⚠",SUBSTITUTE([@N_DA],"⚠ ",""),"OK"))</f>
        <v/>
      </c>
      <c r="I2">
        <f>IF([@Statut_Resolution]="OK",_xlfn.XLOOKUP([@N_DA],tDA[N_DA],tDA[Cotation_accordee],""),"")</f>
        <v/>
      </c>
      <c r="J2">
        <f>IF([@Statut_Resolution]="OK",_xlfn.XLOOKUP([@N_DA],tDA[N_DA],tDA[Regime],""),"")</f>
        <v/>
      </c>
      <c r="K2">
        <f>IF([@Statut_Resolution]="OK",_xlfn.XLOOKUP([@N_DA],tDA[N_DA],tDA[Nb_Je_Accorde],0),"")</f>
        <v/>
      </c>
      <c r="L2">
        <f>IF([@Statut_Resolution]="OK",_xlfn.XLOOKUP([@N_DA],tDA[N_DA],tDA[PEC],""),"")</f>
        <v/>
      </c>
      <c r="M2">
        <f>IF([@Statut_Resolution]="OK",_xlfn.XLOOKUP([@N_DA],tDA[N_DA],tDA[Groupe],""),"")</f>
        <v/>
      </c>
      <c r="N2">
        <f>IF([@Date]="","",_xlfn.XLOOKUP([@Date],tCalendrier[Date],tCalendrier[No_Semaine],"⚠ hors calendrier"))</f>
        <v/>
      </c>
      <c r="O2">
        <f>IF([@Date]="","",TEXT([@Date],"mm/aa"))</f>
        <v/>
      </c>
      <c r="P2">
        <f>IF(OR([@N_DA]="",[@Date]=""),"",IF(COUNTIFS([N_DA],[@N_DA],[Date],[@Date])&gt;1,"DOUBLON",""))</f>
        <v/>
      </c>
    </row>
    <row r="3">
      <c r="B3" s="5" t="n"/>
      <c r="E3">
        <f>UPPER(TRIM(SUBSTITUTE(SUBSTITUTE(SUBSTITUTE(A3,CHAR(160)," "),"  "," "),"  "," ")))</f>
        <v/>
      </c>
      <c r="F3">
        <f>IF([@Programmation]="","",IFERROR(_xlfn.XLOOKUP([@Programmation],tProgrammation[Programmation],tProgrammation[Compte_Present],FALSE),FALSE))</f>
        <v/>
      </c>
      <c r="G3" s="4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3">
        <f>IF([@N_DA]="","",IF(LEFT([@N_DA],1)="⚠",SUBSTITUTE([@N_DA],"⚠ ",""),"OK"))</f>
        <v/>
      </c>
      <c r="I3">
        <f>IF([@Statut_Resolution]="OK",_xlfn.XLOOKUP([@N_DA],tDA[N_DA],tDA[Cotation_accordee],""),"")</f>
        <v/>
      </c>
      <c r="J3">
        <f>IF([@Statut_Resolution]="OK",_xlfn.XLOOKUP([@N_DA],tDA[N_DA],tDA[Regime],""),"")</f>
        <v/>
      </c>
      <c r="K3">
        <f>IF([@Statut_Resolution]="OK",_xlfn.XLOOKUP([@N_DA],tDA[N_DA],tDA[Nb_Je_Accorde],0),"")</f>
        <v/>
      </c>
      <c r="L3">
        <f>IF([@Statut_Resolution]="OK",_xlfn.XLOOKUP([@N_DA],tDA[N_DA],tDA[PEC],""),"")</f>
        <v/>
      </c>
      <c r="M3">
        <f>IF([@Statut_Resolution]="OK",_xlfn.XLOOKUP([@N_DA],tDA[N_DA],tDA[Groupe],""),"")</f>
        <v/>
      </c>
      <c r="N3">
        <f>IF([@Date]="","",_xlfn.XLOOKUP([@Date],tCalendrier[Date],tCalendrier[No_Semaine],"⚠ hors calendrier"))</f>
        <v/>
      </c>
      <c r="O3">
        <f>IF([@Date]="","",TEXT([@Date],"mm/aa"))</f>
        <v/>
      </c>
      <c r="P3">
        <f>IF(OR([@N_DA]="",[@Date]=""),"",IF(COUNTIFS([N_DA],[@N_DA],[Date],[@Date])&gt;1,"DOUBLON",""))</f>
        <v/>
      </c>
    </row>
    <row r="4">
      <c r="B4" s="5" t="n"/>
      <c r="E4">
        <f>UPPER(TRIM(SUBSTITUTE(SUBSTITUTE(SUBSTITUTE(A4,CHAR(160)," "),"  "," "),"  "," ")))</f>
        <v/>
      </c>
      <c r="F4">
        <f>IF([@Programmation]="","",IFERROR(_xlfn.XLOOKUP([@Programmation],tProgrammation[Programmation],tProgrammation[Compte_Present],FALSE),FALSE))</f>
        <v/>
      </c>
      <c r="G4" s="4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4">
        <f>IF([@N_DA]="","",IF(LEFT([@N_DA],1)="⚠",SUBSTITUTE([@N_DA],"⚠ ",""),"OK"))</f>
        <v/>
      </c>
      <c r="I4">
        <f>IF([@Statut_Resolution]="OK",_xlfn.XLOOKUP([@N_DA],tDA[N_DA],tDA[Cotation_accordee],""),"")</f>
        <v/>
      </c>
      <c r="J4">
        <f>IF([@Statut_Resolution]="OK",_xlfn.XLOOKUP([@N_DA],tDA[N_DA],tDA[Regime],""),"")</f>
        <v/>
      </c>
      <c r="K4">
        <f>IF([@Statut_Resolution]="OK",_xlfn.XLOOKUP([@N_DA],tDA[N_DA],tDA[Nb_Je_Accorde],0),"")</f>
        <v/>
      </c>
      <c r="L4">
        <f>IF([@Statut_Resolution]="OK",_xlfn.XLOOKUP([@N_DA],tDA[N_DA],tDA[PEC],""),"")</f>
        <v/>
      </c>
      <c r="M4">
        <f>IF([@Statut_Resolution]="OK",_xlfn.XLOOKUP([@N_DA],tDA[N_DA],tDA[Groupe],""),"")</f>
        <v/>
      </c>
      <c r="N4">
        <f>IF([@Date]="","",_xlfn.XLOOKUP([@Date],tCalendrier[Date],tCalendrier[No_Semaine],"⚠ hors calendrier"))</f>
        <v/>
      </c>
      <c r="O4">
        <f>IF([@Date]="","",TEXT([@Date],"mm/aa"))</f>
        <v/>
      </c>
      <c r="P4">
        <f>IF(OR([@N_DA]="",[@Date]=""),"",IF(COUNTIFS([N_DA],[@N_DA],[Date],[@Date])&gt;1,"DOUBLON",""))</f>
        <v/>
      </c>
    </row>
    <row r="5">
      <c r="B5" s="5" t="n"/>
      <c r="E5">
        <f>UPPER(TRIM(SUBSTITUTE(SUBSTITUTE(SUBSTITUTE(A5,CHAR(160)," "),"  "," "),"  "," ")))</f>
        <v/>
      </c>
      <c r="F5">
        <f>IF([@Programmation]="","",IFERROR(_xlfn.XLOOKUP([@Programmation],tProgrammation[Programmation],tProgrammation[Compte_Present],FALSE),FALSE))</f>
        <v/>
      </c>
      <c r="G5" s="4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5">
        <f>IF([@N_DA]="","",IF(LEFT([@N_DA],1)="⚠",SUBSTITUTE([@N_DA],"⚠ ",""),"OK"))</f>
        <v/>
      </c>
      <c r="I5">
        <f>IF([@Statut_Resolution]="OK",_xlfn.XLOOKUP([@N_DA],tDA[N_DA],tDA[Cotation_accordee],""),"")</f>
        <v/>
      </c>
      <c r="J5">
        <f>IF([@Statut_Resolution]="OK",_xlfn.XLOOKUP([@N_DA],tDA[N_DA],tDA[Regime],""),"")</f>
        <v/>
      </c>
      <c r="K5">
        <f>IF([@Statut_Resolution]="OK",_xlfn.XLOOKUP([@N_DA],tDA[N_DA],tDA[Nb_Je_Accorde],0),"")</f>
        <v/>
      </c>
      <c r="L5">
        <f>IF([@Statut_Resolution]="OK",_xlfn.XLOOKUP([@N_DA],tDA[N_DA],tDA[PEC],""),"")</f>
        <v/>
      </c>
      <c r="M5">
        <f>IF([@Statut_Resolution]="OK",_xlfn.XLOOKUP([@N_DA],tDA[N_DA],tDA[Groupe],""),"")</f>
        <v/>
      </c>
      <c r="N5">
        <f>IF([@Date]="","",_xlfn.XLOOKUP([@Date],tCalendrier[Date],tCalendrier[No_Semaine],"⚠ hors calendrier"))</f>
        <v/>
      </c>
      <c r="O5">
        <f>IF([@Date]="","",TEXT([@Date],"mm/aa"))</f>
        <v/>
      </c>
      <c r="P5">
        <f>IF(OR([@N_DA]="",[@Date]=""),"",IF(COUNTIFS([N_DA],[@N_DA],[Date],[@Date])&gt;1,"DOUBLON",""))</f>
        <v/>
      </c>
    </row>
    <row r="6">
      <c r="B6" s="5" t="n"/>
      <c r="E6">
        <f>UPPER(TRIM(SUBSTITUTE(SUBSTITUTE(SUBSTITUTE(A6,CHAR(160)," "),"  "," "),"  "," ")))</f>
        <v/>
      </c>
      <c r="F6">
        <f>IF([@Programmation]="","",IFERROR(_xlfn.XLOOKUP([@Programmation],tProgrammation[Programmation],tProgrammation[Compte_Present],FALSE),FALSE))</f>
        <v/>
      </c>
      <c r="G6" s="4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6">
        <f>IF([@N_DA]="","",IF(LEFT([@N_DA],1)="⚠",SUBSTITUTE([@N_DA],"⚠ ",""),"OK"))</f>
        <v/>
      </c>
      <c r="I6">
        <f>IF([@Statut_Resolution]="OK",_xlfn.XLOOKUP([@N_DA],tDA[N_DA],tDA[Cotation_accordee],""),"")</f>
        <v/>
      </c>
      <c r="J6">
        <f>IF([@Statut_Resolution]="OK",_xlfn.XLOOKUP([@N_DA],tDA[N_DA],tDA[Regime],""),"")</f>
        <v/>
      </c>
      <c r="K6">
        <f>IF([@Statut_Resolution]="OK",_xlfn.XLOOKUP([@N_DA],tDA[N_DA],tDA[Nb_Je_Accorde],0),"")</f>
        <v/>
      </c>
      <c r="L6">
        <f>IF([@Statut_Resolution]="OK",_xlfn.XLOOKUP([@N_DA],tDA[N_DA],tDA[PEC],""),"")</f>
        <v/>
      </c>
      <c r="M6">
        <f>IF([@Statut_Resolution]="OK",_xlfn.XLOOKUP([@N_DA],tDA[N_DA],tDA[Groupe],""),"")</f>
        <v/>
      </c>
      <c r="N6">
        <f>IF([@Date]="","",_xlfn.XLOOKUP([@Date],tCalendrier[Date],tCalendrier[No_Semaine],"⚠ hors calendrier"))</f>
        <v/>
      </c>
      <c r="O6">
        <f>IF([@Date]="","",TEXT([@Date],"mm/aa"))</f>
        <v/>
      </c>
      <c r="P6">
        <f>IF(OR([@N_DA]="",[@Date]=""),"",IF(COUNTIFS([N_DA],[@N_DA],[Date],[@Date])&gt;1,"DOUBLON",""))</f>
        <v/>
      </c>
    </row>
    <row r="7">
      <c r="B7" s="5" t="n"/>
      <c r="E7">
        <f>UPPER(TRIM(SUBSTITUTE(SUBSTITUTE(SUBSTITUTE(A7,CHAR(160)," "),"  "," "),"  "," ")))</f>
        <v/>
      </c>
      <c r="F7">
        <f>IF([@Programmation]="","",IFERROR(_xlfn.XLOOKUP([@Programmation],tProgrammation[Programmation],tProgrammation[Compte_Present],FALSE),FALSE))</f>
        <v/>
      </c>
      <c r="G7" s="4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7">
        <f>IF([@N_DA]="","",IF(LEFT([@N_DA],1)="⚠",SUBSTITUTE([@N_DA],"⚠ ",""),"OK"))</f>
        <v/>
      </c>
      <c r="I7">
        <f>IF([@Statut_Resolution]="OK",_xlfn.XLOOKUP([@N_DA],tDA[N_DA],tDA[Cotation_accordee],""),"")</f>
        <v/>
      </c>
      <c r="J7">
        <f>IF([@Statut_Resolution]="OK",_xlfn.XLOOKUP([@N_DA],tDA[N_DA],tDA[Regime],""),"")</f>
        <v/>
      </c>
      <c r="K7">
        <f>IF([@Statut_Resolution]="OK",_xlfn.XLOOKUP([@N_DA],tDA[N_DA],tDA[Nb_Je_Accorde],0),"")</f>
        <v/>
      </c>
      <c r="L7">
        <f>IF([@Statut_Resolution]="OK",_xlfn.XLOOKUP([@N_DA],tDA[N_DA],tDA[PEC],""),"")</f>
        <v/>
      </c>
      <c r="M7">
        <f>IF([@Statut_Resolution]="OK",_xlfn.XLOOKUP([@N_DA],tDA[N_DA],tDA[Groupe],""),"")</f>
        <v/>
      </c>
      <c r="N7">
        <f>IF([@Date]="","",_xlfn.XLOOKUP([@Date],tCalendrier[Date],tCalendrier[No_Semaine],"⚠ hors calendrier"))</f>
        <v/>
      </c>
      <c r="O7">
        <f>IF([@Date]="","",TEXT([@Date],"mm/aa"))</f>
        <v/>
      </c>
      <c r="P7">
        <f>IF(OR([@N_DA]="",[@Date]=""),"",IF(COUNTIFS([N_DA],[@N_DA],[Date],[@Date])&gt;1,"DOUBLON",""))</f>
        <v/>
      </c>
    </row>
    <row r="8">
      <c r="B8" s="5" t="n"/>
      <c r="E8">
        <f>UPPER(TRIM(SUBSTITUTE(SUBSTITUTE(SUBSTITUTE(A8,CHAR(160)," "),"  "," "),"  "," ")))</f>
        <v/>
      </c>
      <c r="F8">
        <f>IF([@Programmation]="","",IFERROR(_xlfn.XLOOKUP([@Programmation],tProgrammation[Programmation],tProgrammation[Compte_Present],FALSE),FALSE))</f>
        <v/>
      </c>
      <c r="G8" s="4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8">
        <f>IF([@N_DA]="","",IF(LEFT([@N_DA],1)="⚠",SUBSTITUTE([@N_DA],"⚠ ",""),"OK"))</f>
        <v/>
      </c>
      <c r="I8">
        <f>IF([@Statut_Resolution]="OK",_xlfn.XLOOKUP([@N_DA],tDA[N_DA],tDA[Cotation_accordee],""),"")</f>
        <v/>
      </c>
      <c r="J8">
        <f>IF([@Statut_Resolution]="OK",_xlfn.XLOOKUP([@N_DA],tDA[N_DA],tDA[Regime],""),"")</f>
        <v/>
      </c>
      <c r="K8">
        <f>IF([@Statut_Resolution]="OK",_xlfn.XLOOKUP([@N_DA],tDA[N_DA],tDA[Nb_Je_Accorde],0),"")</f>
        <v/>
      </c>
      <c r="L8">
        <f>IF([@Statut_Resolution]="OK",_xlfn.XLOOKUP([@N_DA],tDA[N_DA],tDA[PEC],""),"")</f>
        <v/>
      </c>
      <c r="M8">
        <f>IF([@Statut_Resolution]="OK",_xlfn.XLOOKUP([@N_DA],tDA[N_DA],tDA[Groupe],""),"")</f>
        <v/>
      </c>
      <c r="N8">
        <f>IF([@Date]="","",_xlfn.XLOOKUP([@Date],tCalendrier[Date],tCalendrier[No_Semaine],"⚠ hors calendrier"))</f>
        <v/>
      </c>
      <c r="O8">
        <f>IF([@Date]="","",TEXT([@Date],"mm/aa"))</f>
        <v/>
      </c>
      <c r="P8">
        <f>IF(OR([@N_DA]="",[@Date]=""),"",IF(COUNTIFS([N_DA],[@N_DA],[Date],[@Date])&gt;1,"DOUBLON",""))</f>
        <v/>
      </c>
    </row>
    <row r="9">
      <c r="B9" s="5" t="n"/>
      <c r="E9">
        <f>UPPER(TRIM(SUBSTITUTE(SUBSTITUTE(SUBSTITUTE(A9,CHAR(160)," "),"  "," "),"  "," ")))</f>
        <v/>
      </c>
      <c r="F9">
        <f>IF([@Programmation]="","",IFERROR(_xlfn.XLOOKUP([@Programmation],tProgrammation[Programmation],tProgrammation[Compte_Present],FALSE),FALSE))</f>
        <v/>
      </c>
      <c r="G9" s="4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9">
        <f>IF([@N_DA]="","",IF(LEFT([@N_DA],1)="⚠",SUBSTITUTE([@N_DA],"⚠ ",""),"OK"))</f>
        <v/>
      </c>
      <c r="I9">
        <f>IF([@Statut_Resolution]="OK",_xlfn.XLOOKUP([@N_DA],tDA[N_DA],tDA[Cotation_accordee],""),"")</f>
        <v/>
      </c>
      <c r="J9">
        <f>IF([@Statut_Resolution]="OK",_xlfn.XLOOKUP([@N_DA],tDA[N_DA],tDA[Regime],""),"")</f>
        <v/>
      </c>
      <c r="K9">
        <f>IF([@Statut_Resolution]="OK",_xlfn.XLOOKUP([@N_DA],tDA[N_DA],tDA[Nb_Je_Accorde],0),"")</f>
        <v/>
      </c>
      <c r="L9">
        <f>IF([@Statut_Resolution]="OK",_xlfn.XLOOKUP([@N_DA],tDA[N_DA],tDA[PEC],""),"")</f>
        <v/>
      </c>
      <c r="M9">
        <f>IF([@Statut_Resolution]="OK",_xlfn.XLOOKUP([@N_DA],tDA[N_DA],tDA[Groupe],""),"")</f>
        <v/>
      </c>
      <c r="N9">
        <f>IF([@Date]="","",_xlfn.XLOOKUP([@Date],tCalendrier[Date],tCalendrier[No_Semaine],"⚠ hors calendrier"))</f>
        <v/>
      </c>
      <c r="O9">
        <f>IF([@Date]="","",TEXT([@Date],"mm/aa"))</f>
        <v/>
      </c>
      <c r="P9">
        <f>IF(OR([@N_DA]="",[@Date]=""),"",IF(COUNTIFS([N_DA],[@N_DA],[Date],[@Date])&gt;1,"DOUBLON",""))</f>
        <v/>
      </c>
    </row>
    <row r="10">
      <c r="B10" s="5" t="n"/>
      <c r="E10">
        <f>UPPER(TRIM(SUBSTITUTE(SUBSTITUTE(SUBSTITUTE(A10,CHAR(160)," "),"  "," "),"  "," ")))</f>
        <v/>
      </c>
      <c r="F10">
        <f>IF([@Programmation]="","",IFERROR(_xlfn.XLOOKUP([@Programmation],tProgrammation[Programmation],tProgrammation[Compte_Present],FALSE),FALSE))</f>
        <v/>
      </c>
      <c r="G10" s="4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10">
        <f>IF([@N_DA]="","",IF(LEFT([@N_DA],1)="⚠",SUBSTITUTE([@N_DA],"⚠ ",""),"OK"))</f>
        <v/>
      </c>
      <c r="I10">
        <f>IF([@Statut_Resolution]="OK",_xlfn.XLOOKUP([@N_DA],tDA[N_DA],tDA[Cotation_accordee],""),"")</f>
        <v/>
      </c>
      <c r="J10">
        <f>IF([@Statut_Resolution]="OK",_xlfn.XLOOKUP([@N_DA],tDA[N_DA],tDA[Regime],""),"")</f>
        <v/>
      </c>
      <c r="K10">
        <f>IF([@Statut_Resolution]="OK",_xlfn.XLOOKUP([@N_DA],tDA[N_DA],tDA[Nb_Je_Accorde],0),"")</f>
        <v/>
      </c>
      <c r="L10">
        <f>IF([@Statut_Resolution]="OK",_xlfn.XLOOKUP([@N_DA],tDA[N_DA],tDA[PEC],""),"")</f>
        <v/>
      </c>
      <c r="M10">
        <f>IF([@Statut_Resolution]="OK",_xlfn.XLOOKUP([@N_DA],tDA[N_DA],tDA[Groupe],""),"")</f>
        <v/>
      </c>
      <c r="N10">
        <f>IF([@Date]="","",_xlfn.XLOOKUP([@Date],tCalendrier[Date],tCalendrier[No_Semaine],"⚠ hors calendrier"))</f>
        <v/>
      </c>
      <c r="O10">
        <f>IF([@Date]="","",TEXT([@Date],"mm/aa"))</f>
        <v/>
      </c>
      <c r="P10">
        <f>IF(OR([@N_DA]="",[@Date]=""),"",IF(COUNTIFS([N_DA],[@N_DA],[Date],[@Date])&gt;1,"DOUBLON",""))</f>
        <v/>
      </c>
    </row>
    <row r="11">
      <c r="B11" s="5" t="n"/>
      <c r="E11">
        <f>UPPER(TRIM(SUBSTITUTE(SUBSTITUTE(SUBSTITUTE(A11,CHAR(160)," "),"  "," "),"  "," ")))</f>
        <v/>
      </c>
      <c r="F11">
        <f>IF([@Programmation]="","",IFERROR(_xlfn.XLOOKUP([@Programmation],tProgrammation[Programmation],tProgrammation[Compte_Present],FALSE),FALSE))</f>
        <v/>
      </c>
      <c r="G11" s="4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11">
        <f>IF([@N_DA]="","",IF(LEFT([@N_DA],1)="⚠",SUBSTITUTE([@N_DA],"⚠ ",""),"OK"))</f>
        <v/>
      </c>
      <c r="I11">
        <f>IF([@Statut_Resolution]="OK",_xlfn.XLOOKUP([@N_DA],tDA[N_DA],tDA[Cotation_accordee],""),"")</f>
        <v/>
      </c>
      <c r="J11">
        <f>IF([@Statut_Resolution]="OK",_xlfn.XLOOKUP([@N_DA],tDA[N_DA],tDA[Regime],""),"")</f>
        <v/>
      </c>
      <c r="K11">
        <f>IF([@Statut_Resolution]="OK",_xlfn.XLOOKUP([@N_DA],tDA[N_DA],tDA[Nb_Je_Accorde],0),"")</f>
        <v/>
      </c>
      <c r="L11">
        <f>IF([@Statut_Resolution]="OK",_xlfn.XLOOKUP([@N_DA],tDA[N_DA],tDA[PEC],""),"")</f>
        <v/>
      </c>
      <c r="M11">
        <f>IF([@Statut_Resolution]="OK",_xlfn.XLOOKUP([@N_DA],tDA[N_DA],tDA[Groupe],""),"")</f>
        <v/>
      </c>
      <c r="N11">
        <f>IF([@Date]="","",_xlfn.XLOOKUP([@Date],tCalendrier[Date],tCalendrier[No_Semaine],"⚠ hors calendrier"))</f>
        <v/>
      </c>
      <c r="O11">
        <f>IF([@Date]="","",TEXT([@Date],"mm/aa"))</f>
        <v/>
      </c>
      <c r="P11">
        <f>IF(OR([@N_DA]="",[@Date]=""),"",IF(COUNTIFS([N_DA],[@N_DA],[Date],[@Date])&gt;1,"DOUBLON",""))</f>
        <v/>
      </c>
    </row>
    <row r="12">
      <c r="B12" s="5" t="n"/>
      <c r="E12">
        <f>UPPER(TRIM(SUBSTITUTE(SUBSTITUTE(SUBSTITUTE(A12,CHAR(160)," "),"  "," "),"  "," ")))</f>
        <v/>
      </c>
      <c r="F12">
        <f>IF([@Programmation]="","",IFERROR(_xlfn.XLOOKUP([@Programmation],tProgrammation[Programmation],tProgrammation[Compte_Present],FALSE),FALSE))</f>
        <v/>
      </c>
      <c r="G12" s="4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12">
        <f>IF([@N_DA]="","",IF(LEFT([@N_DA],1)="⚠",SUBSTITUTE([@N_DA],"⚠ ",""),"OK"))</f>
        <v/>
      </c>
      <c r="I12">
        <f>IF([@Statut_Resolution]="OK",_xlfn.XLOOKUP([@N_DA],tDA[N_DA],tDA[Cotation_accordee],""),"")</f>
        <v/>
      </c>
      <c r="J12">
        <f>IF([@Statut_Resolution]="OK",_xlfn.XLOOKUP([@N_DA],tDA[N_DA],tDA[Regime],""),"")</f>
        <v/>
      </c>
      <c r="K12">
        <f>IF([@Statut_Resolution]="OK",_xlfn.XLOOKUP([@N_DA],tDA[N_DA],tDA[Nb_Je_Accorde],0),"")</f>
        <v/>
      </c>
      <c r="L12">
        <f>IF([@Statut_Resolution]="OK",_xlfn.XLOOKUP([@N_DA],tDA[N_DA],tDA[PEC],""),"")</f>
        <v/>
      </c>
      <c r="M12">
        <f>IF([@Statut_Resolution]="OK",_xlfn.XLOOKUP([@N_DA],tDA[N_DA],tDA[Groupe],""),"")</f>
        <v/>
      </c>
      <c r="N12">
        <f>IF([@Date]="","",_xlfn.XLOOKUP([@Date],tCalendrier[Date],tCalendrier[No_Semaine],"⚠ hors calendrier"))</f>
        <v/>
      </c>
      <c r="O12">
        <f>IF([@Date]="","",TEXT([@Date],"mm/aa"))</f>
        <v/>
      </c>
      <c r="P12">
        <f>IF(OR([@N_DA]="",[@Date]=""),"",IF(COUNTIFS([N_DA],[@N_DA],[Date],[@Date])&gt;1,"DOUBLON",""))</f>
        <v/>
      </c>
    </row>
    <row r="13">
      <c r="B13" s="5" t="n"/>
      <c r="E13">
        <f>UPPER(TRIM(SUBSTITUTE(SUBSTITUTE(SUBSTITUTE(A13,CHAR(160)," "),"  "," "),"  "," ")))</f>
        <v/>
      </c>
      <c r="F13">
        <f>IF([@Programmation]="","",IFERROR(_xlfn.XLOOKUP([@Programmation],tProgrammation[Programmation],tProgrammation[Compte_Present],FALSE),FALSE))</f>
        <v/>
      </c>
      <c r="G13" s="4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13">
        <f>IF([@N_DA]="","",IF(LEFT([@N_DA],1)="⚠",SUBSTITUTE([@N_DA],"⚠ ",""),"OK"))</f>
        <v/>
      </c>
      <c r="I13">
        <f>IF([@Statut_Resolution]="OK",_xlfn.XLOOKUP([@N_DA],tDA[N_DA],tDA[Cotation_accordee],""),"")</f>
        <v/>
      </c>
      <c r="J13">
        <f>IF([@Statut_Resolution]="OK",_xlfn.XLOOKUP([@N_DA],tDA[N_DA],tDA[Regime],""),"")</f>
        <v/>
      </c>
      <c r="K13">
        <f>IF([@Statut_Resolution]="OK",_xlfn.XLOOKUP([@N_DA],tDA[N_DA],tDA[Nb_Je_Accorde],0),"")</f>
        <v/>
      </c>
      <c r="L13">
        <f>IF([@Statut_Resolution]="OK",_xlfn.XLOOKUP([@N_DA],tDA[N_DA],tDA[PEC],""),"")</f>
        <v/>
      </c>
      <c r="M13">
        <f>IF([@Statut_Resolution]="OK",_xlfn.XLOOKUP([@N_DA],tDA[N_DA],tDA[Groupe],""),"")</f>
        <v/>
      </c>
      <c r="N13">
        <f>IF([@Date]="","",_xlfn.XLOOKUP([@Date],tCalendrier[Date],tCalendrier[No_Semaine],"⚠ hors calendrier"))</f>
        <v/>
      </c>
      <c r="O13">
        <f>IF([@Date]="","",TEXT([@Date],"mm/aa"))</f>
        <v/>
      </c>
      <c r="P13">
        <f>IF(OR([@N_DA]="",[@Date]=""),"",IF(COUNTIFS([N_DA],[@N_DA],[Date],[@Date])&gt;1,"DOUBLON",""))</f>
        <v/>
      </c>
    </row>
    <row r="14">
      <c r="B14" s="5" t="n"/>
      <c r="E14">
        <f>UPPER(TRIM(SUBSTITUTE(SUBSTITUTE(SUBSTITUTE(A14,CHAR(160)," "),"  "," "),"  "," ")))</f>
        <v/>
      </c>
      <c r="F14">
        <f>IF([@Programmation]="","",IFERROR(_xlfn.XLOOKUP([@Programmation],tProgrammation[Programmation],tProgrammation[Compte_Present],FALSE),FALSE))</f>
        <v/>
      </c>
      <c r="G14" s="4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14">
        <f>IF([@N_DA]="","",IF(LEFT([@N_DA],1)="⚠",SUBSTITUTE([@N_DA],"⚠ ",""),"OK"))</f>
        <v/>
      </c>
      <c r="I14">
        <f>IF([@Statut_Resolution]="OK",_xlfn.XLOOKUP([@N_DA],tDA[N_DA],tDA[Cotation_accordee],""),"")</f>
        <v/>
      </c>
      <c r="J14">
        <f>IF([@Statut_Resolution]="OK",_xlfn.XLOOKUP([@N_DA],tDA[N_DA],tDA[Regime],""),"")</f>
        <v/>
      </c>
      <c r="K14">
        <f>IF([@Statut_Resolution]="OK",_xlfn.XLOOKUP([@N_DA],tDA[N_DA],tDA[Nb_Je_Accorde],0),"")</f>
        <v/>
      </c>
      <c r="L14">
        <f>IF([@Statut_Resolution]="OK",_xlfn.XLOOKUP([@N_DA],tDA[N_DA],tDA[PEC],""),"")</f>
        <v/>
      </c>
      <c r="M14">
        <f>IF([@Statut_Resolution]="OK",_xlfn.XLOOKUP([@N_DA],tDA[N_DA],tDA[Groupe],""),"")</f>
        <v/>
      </c>
      <c r="N14">
        <f>IF([@Date]="","",_xlfn.XLOOKUP([@Date],tCalendrier[Date],tCalendrier[No_Semaine],"⚠ hors calendrier"))</f>
        <v/>
      </c>
      <c r="O14">
        <f>IF([@Date]="","",TEXT([@Date],"mm/aa"))</f>
        <v/>
      </c>
      <c r="P14">
        <f>IF(OR([@N_DA]="",[@Date]=""),"",IF(COUNTIFS([N_DA],[@N_DA],[Date],[@Date])&gt;1,"DOUBLON",""))</f>
        <v/>
      </c>
    </row>
    <row r="15">
      <c r="B15" s="5" t="n"/>
      <c r="E15">
        <f>UPPER(TRIM(SUBSTITUTE(SUBSTITUTE(SUBSTITUTE(A15,CHAR(160)," "),"  "," "),"  "," ")))</f>
        <v/>
      </c>
      <c r="F15">
        <f>IF([@Programmation]="","",IFERROR(_xlfn.XLOOKUP([@Programmation],tProgrammation[Programmation],tProgrammation[Compte_Present],FALSE),FALSE))</f>
        <v/>
      </c>
      <c r="G15" s="4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15">
        <f>IF([@N_DA]="","",IF(LEFT([@N_DA],1)="⚠",SUBSTITUTE([@N_DA],"⚠ ",""),"OK"))</f>
        <v/>
      </c>
      <c r="I15">
        <f>IF([@Statut_Resolution]="OK",_xlfn.XLOOKUP([@N_DA],tDA[N_DA],tDA[Cotation_accordee],""),"")</f>
        <v/>
      </c>
      <c r="J15">
        <f>IF([@Statut_Resolution]="OK",_xlfn.XLOOKUP([@N_DA],tDA[N_DA],tDA[Regime],""),"")</f>
        <v/>
      </c>
      <c r="K15">
        <f>IF([@Statut_Resolution]="OK",_xlfn.XLOOKUP([@N_DA],tDA[N_DA],tDA[Nb_Je_Accorde],0),"")</f>
        <v/>
      </c>
      <c r="L15">
        <f>IF([@Statut_Resolution]="OK",_xlfn.XLOOKUP([@N_DA],tDA[N_DA],tDA[PEC],""),"")</f>
        <v/>
      </c>
      <c r="M15">
        <f>IF([@Statut_Resolution]="OK",_xlfn.XLOOKUP([@N_DA],tDA[N_DA],tDA[Groupe],""),"")</f>
        <v/>
      </c>
      <c r="N15">
        <f>IF([@Date]="","",_xlfn.XLOOKUP([@Date],tCalendrier[Date],tCalendrier[No_Semaine],"⚠ hors calendrier"))</f>
        <v/>
      </c>
      <c r="O15">
        <f>IF([@Date]="","",TEXT([@Date],"mm/aa"))</f>
        <v/>
      </c>
      <c r="P15">
        <f>IF(OR([@N_DA]="",[@Date]=""),"",IF(COUNTIFS([N_DA],[@N_DA],[Date],[@Date])&gt;1,"DOUBLON",""))</f>
        <v/>
      </c>
    </row>
    <row r="16">
      <c r="B16" s="5" t="n"/>
      <c r="E16">
        <f>UPPER(TRIM(SUBSTITUTE(SUBSTITUTE(SUBSTITUTE(A16,CHAR(160)," "),"  "," "),"  "," ")))</f>
        <v/>
      </c>
      <c r="F16">
        <f>IF([@Programmation]="","",IFERROR(_xlfn.XLOOKUP([@Programmation],tProgrammation[Programmation],tProgrammation[Compte_Present],FALSE),FALSE))</f>
        <v/>
      </c>
      <c r="G16" s="4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16">
        <f>IF([@N_DA]="","",IF(LEFT([@N_DA],1)="⚠",SUBSTITUTE([@N_DA],"⚠ ",""),"OK"))</f>
        <v/>
      </c>
      <c r="I16">
        <f>IF([@Statut_Resolution]="OK",_xlfn.XLOOKUP([@N_DA],tDA[N_DA],tDA[Cotation_accordee],""),"")</f>
        <v/>
      </c>
      <c r="J16">
        <f>IF([@Statut_Resolution]="OK",_xlfn.XLOOKUP([@N_DA],tDA[N_DA],tDA[Regime],""),"")</f>
        <v/>
      </c>
      <c r="K16">
        <f>IF([@Statut_Resolution]="OK",_xlfn.XLOOKUP([@N_DA],tDA[N_DA],tDA[Nb_Je_Accorde],0),"")</f>
        <v/>
      </c>
      <c r="L16">
        <f>IF([@Statut_Resolution]="OK",_xlfn.XLOOKUP([@N_DA],tDA[N_DA],tDA[PEC],""),"")</f>
        <v/>
      </c>
      <c r="M16">
        <f>IF([@Statut_Resolution]="OK",_xlfn.XLOOKUP([@N_DA],tDA[N_DA],tDA[Groupe],""),"")</f>
        <v/>
      </c>
      <c r="N16">
        <f>IF([@Date]="","",_xlfn.XLOOKUP([@Date],tCalendrier[Date],tCalendrier[No_Semaine],"⚠ hors calendrier"))</f>
        <v/>
      </c>
      <c r="O16">
        <f>IF([@Date]="","",TEXT([@Date],"mm/aa"))</f>
        <v/>
      </c>
      <c r="P16">
        <f>IF(OR([@N_DA]="",[@Date]=""),"",IF(COUNTIFS([N_DA],[@N_DA],[Date],[@Date])&gt;1,"DOUBLON",""))</f>
        <v/>
      </c>
    </row>
    <row r="17">
      <c r="B17" s="5" t="n"/>
      <c r="E17">
        <f>UPPER(TRIM(SUBSTITUTE(SUBSTITUTE(SUBSTITUTE(A17,CHAR(160)," "),"  "," "),"  "," ")))</f>
        <v/>
      </c>
      <c r="F17">
        <f>IF([@Programmation]="","",IFERROR(_xlfn.XLOOKUP([@Programmation],tProgrammation[Programmation],tProgrammation[Compte_Present],FALSE),FALSE))</f>
        <v/>
      </c>
      <c r="G17" s="4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17">
        <f>IF([@N_DA]="","",IF(LEFT([@N_DA],1)="⚠",SUBSTITUTE([@N_DA],"⚠ ",""),"OK"))</f>
        <v/>
      </c>
      <c r="I17">
        <f>IF([@Statut_Resolution]="OK",_xlfn.XLOOKUP([@N_DA],tDA[N_DA],tDA[Cotation_accordee],""),"")</f>
        <v/>
      </c>
      <c r="J17">
        <f>IF([@Statut_Resolution]="OK",_xlfn.XLOOKUP([@N_DA],tDA[N_DA],tDA[Regime],""),"")</f>
        <v/>
      </c>
      <c r="K17">
        <f>IF([@Statut_Resolution]="OK",_xlfn.XLOOKUP([@N_DA],tDA[N_DA],tDA[Nb_Je_Accorde],0),"")</f>
        <v/>
      </c>
      <c r="L17">
        <f>IF([@Statut_Resolution]="OK",_xlfn.XLOOKUP([@N_DA],tDA[N_DA],tDA[PEC],""),"")</f>
        <v/>
      </c>
      <c r="M17">
        <f>IF([@Statut_Resolution]="OK",_xlfn.XLOOKUP([@N_DA],tDA[N_DA],tDA[Groupe],""),"")</f>
        <v/>
      </c>
      <c r="N17">
        <f>IF([@Date]="","",_xlfn.XLOOKUP([@Date],tCalendrier[Date],tCalendrier[No_Semaine],"⚠ hors calendrier"))</f>
        <v/>
      </c>
      <c r="O17">
        <f>IF([@Date]="","",TEXT([@Date],"mm/aa"))</f>
        <v/>
      </c>
      <c r="P17">
        <f>IF(OR([@N_DA]="",[@Date]=""),"",IF(COUNTIFS([N_DA],[@N_DA],[Date],[@Date])&gt;1,"DOUBLON",""))</f>
        <v/>
      </c>
    </row>
    <row r="18">
      <c r="B18" s="5" t="n"/>
      <c r="E18">
        <f>UPPER(TRIM(SUBSTITUTE(SUBSTITUTE(SUBSTITUTE(A18,CHAR(160)," "),"  "," "),"  "," ")))</f>
        <v/>
      </c>
      <c r="F18">
        <f>IF([@Programmation]="","",IFERROR(_xlfn.XLOOKUP([@Programmation],tProgrammation[Programmation],tProgrammation[Compte_Present],FALSE),FALSE))</f>
        <v/>
      </c>
      <c r="G18" s="4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18">
        <f>IF([@N_DA]="","",IF(LEFT([@N_DA],1)="⚠",SUBSTITUTE([@N_DA],"⚠ ",""),"OK"))</f>
        <v/>
      </c>
      <c r="I18">
        <f>IF([@Statut_Resolution]="OK",_xlfn.XLOOKUP([@N_DA],tDA[N_DA],tDA[Cotation_accordee],""),"")</f>
        <v/>
      </c>
      <c r="J18">
        <f>IF([@Statut_Resolution]="OK",_xlfn.XLOOKUP([@N_DA],tDA[N_DA],tDA[Regime],""),"")</f>
        <v/>
      </c>
      <c r="K18">
        <f>IF([@Statut_Resolution]="OK",_xlfn.XLOOKUP([@N_DA],tDA[N_DA],tDA[Nb_Je_Accorde],0),"")</f>
        <v/>
      </c>
      <c r="L18">
        <f>IF([@Statut_Resolution]="OK",_xlfn.XLOOKUP([@N_DA],tDA[N_DA],tDA[PEC],""),"")</f>
        <v/>
      </c>
      <c r="M18">
        <f>IF([@Statut_Resolution]="OK",_xlfn.XLOOKUP([@N_DA],tDA[N_DA],tDA[Groupe],""),"")</f>
        <v/>
      </c>
      <c r="N18">
        <f>IF([@Date]="","",_xlfn.XLOOKUP([@Date],tCalendrier[Date],tCalendrier[No_Semaine],"⚠ hors calendrier"))</f>
        <v/>
      </c>
      <c r="O18">
        <f>IF([@Date]="","",TEXT([@Date],"mm/aa"))</f>
        <v/>
      </c>
      <c r="P18">
        <f>IF(OR([@N_DA]="",[@Date]=""),"",IF(COUNTIFS([N_DA],[@N_DA],[Date],[@Date])&gt;1,"DOUBLON",""))</f>
        <v/>
      </c>
    </row>
    <row r="19">
      <c r="B19" s="5" t="n"/>
      <c r="E19">
        <f>UPPER(TRIM(SUBSTITUTE(SUBSTITUTE(SUBSTITUTE(A19,CHAR(160)," "),"  "," "),"  "," ")))</f>
        <v/>
      </c>
      <c r="F19">
        <f>IF([@Programmation]="","",IFERROR(_xlfn.XLOOKUP([@Programmation],tProgrammation[Programmation],tProgrammation[Compte_Present],FALSE),FALSE))</f>
        <v/>
      </c>
      <c r="G19" s="4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19">
        <f>IF([@N_DA]="","",IF(LEFT([@N_DA],1)="⚠",SUBSTITUTE([@N_DA],"⚠ ",""),"OK"))</f>
        <v/>
      </c>
      <c r="I19">
        <f>IF([@Statut_Resolution]="OK",_xlfn.XLOOKUP([@N_DA],tDA[N_DA],tDA[Cotation_accordee],""),"")</f>
        <v/>
      </c>
      <c r="J19">
        <f>IF([@Statut_Resolution]="OK",_xlfn.XLOOKUP([@N_DA],tDA[N_DA],tDA[Regime],""),"")</f>
        <v/>
      </c>
      <c r="K19">
        <f>IF([@Statut_Resolution]="OK",_xlfn.XLOOKUP([@N_DA],tDA[N_DA],tDA[Nb_Je_Accorde],0),"")</f>
        <v/>
      </c>
      <c r="L19">
        <f>IF([@Statut_Resolution]="OK",_xlfn.XLOOKUP([@N_DA],tDA[N_DA],tDA[PEC],""),"")</f>
        <v/>
      </c>
      <c r="M19">
        <f>IF([@Statut_Resolution]="OK",_xlfn.XLOOKUP([@N_DA],tDA[N_DA],tDA[Groupe],""),"")</f>
        <v/>
      </c>
      <c r="N19">
        <f>IF([@Date]="","",_xlfn.XLOOKUP([@Date],tCalendrier[Date],tCalendrier[No_Semaine],"⚠ hors calendrier"))</f>
        <v/>
      </c>
      <c r="O19">
        <f>IF([@Date]="","",TEXT([@Date],"mm/aa"))</f>
        <v/>
      </c>
      <c r="P19">
        <f>IF(OR([@N_DA]="",[@Date]=""),"",IF(COUNTIFS([N_DA],[@N_DA],[Date],[@Date])&gt;1,"DOUBLON",""))</f>
        <v/>
      </c>
    </row>
    <row r="20">
      <c r="B20" s="5" t="n"/>
      <c r="E20">
        <f>UPPER(TRIM(SUBSTITUTE(SUBSTITUTE(SUBSTITUTE(A20,CHAR(160)," "),"  "," "),"  "," ")))</f>
        <v/>
      </c>
      <c r="F20">
        <f>IF([@Programmation]="","",IFERROR(_xlfn.XLOOKUP([@Programmation],tProgrammation[Programmation],tProgrammation[Compte_Present],FALSE),FALSE))</f>
        <v/>
      </c>
      <c r="G20" s="4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20">
        <f>IF([@N_DA]="","",IF(LEFT([@N_DA],1)="⚠",SUBSTITUTE([@N_DA],"⚠ ",""),"OK"))</f>
        <v/>
      </c>
      <c r="I20">
        <f>IF([@Statut_Resolution]="OK",_xlfn.XLOOKUP([@N_DA],tDA[N_DA],tDA[Cotation_accordee],""),"")</f>
        <v/>
      </c>
      <c r="J20">
        <f>IF([@Statut_Resolution]="OK",_xlfn.XLOOKUP([@N_DA],tDA[N_DA],tDA[Regime],""),"")</f>
        <v/>
      </c>
      <c r="K20">
        <f>IF([@Statut_Resolution]="OK",_xlfn.XLOOKUP([@N_DA],tDA[N_DA],tDA[Nb_Je_Accorde],0),"")</f>
        <v/>
      </c>
      <c r="L20">
        <f>IF([@Statut_Resolution]="OK",_xlfn.XLOOKUP([@N_DA],tDA[N_DA],tDA[PEC],""),"")</f>
        <v/>
      </c>
      <c r="M20">
        <f>IF([@Statut_Resolution]="OK",_xlfn.XLOOKUP([@N_DA],tDA[N_DA],tDA[Groupe],""),"")</f>
        <v/>
      </c>
      <c r="N20">
        <f>IF([@Date]="","",_xlfn.XLOOKUP([@Date],tCalendrier[Date],tCalendrier[No_Semaine],"⚠ hors calendrier"))</f>
        <v/>
      </c>
      <c r="O20">
        <f>IF([@Date]="","",TEXT([@Date],"mm/aa"))</f>
        <v/>
      </c>
      <c r="P20">
        <f>IF(OR([@N_DA]="",[@Date]=""),"",IF(COUNTIFS([N_DA],[@N_DA],[Date],[@Date])&gt;1,"DOUBLON",""))</f>
        <v/>
      </c>
    </row>
    <row r="21">
      <c r="B21" s="5" t="n"/>
      <c r="E21">
        <f>UPPER(TRIM(SUBSTITUTE(SUBSTITUTE(SUBSTITUTE(A21,CHAR(160)," "),"  "," "),"  "," ")))</f>
        <v/>
      </c>
      <c r="F21">
        <f>IF([@Programmation]="","",IFERROR(_xlfn.XLOOKUP([@Programmation],tProgrammation[Programmation],tProgrammation[Compte_Present],FALSE),FALSE))</f>
        <v/>
      </c>
      <c r="G21" s="4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21">
        <f>IF([@N_DA]="","",IF(LEFT([@N_DA],1)="⚠",SUBSTITUTE([@N_DA],"⚠ ",""),"OK"))</f>
        <v/>
      </c>
      <c r="I21">
        <f>IF([@Statut_Resolution]="OK",_xlfn.XLOOKUP([@N_DA],tDA[N_DA],tDA[Cotation_accordee],""),"")</f>
        <v/>
      </c>
      <c r="J21">
        <f>IF([@Statut_Resolution]="OK",_xlfn.XLOOKUP([@N_DA],tDA[N_DA],tDA[Regime],""),"")</f>
        <v/>
      </c>
      <c r="K21">
        <f>IF([@Statut_Resolution]="OK",_xlfn.XLOOKUP([@N_DA],tDA[N_DA],tDA[Nb_Je_Accorde],0),"")</f>
        <v/>
      </c>
      <c r="L21">
        <f>IF([@Statut_Resolution]="OK",_xlfn.XLOOKUP([@N_DA],tDA[N_DA],tDA[PEC],""),"")</f>
        <v/>
      </c>
      <c r="M21">
        <f>IF([@Statut_Resolution]="OK",_xlfn.XLOOKUP([@N_DA],tDA[N_DA],tDA[Groupe],""),"")</f>
        <v/>
      </c>
      <c r="N21">
        <f>IF([@Date]="","",_xlfn.XLOOKUP([@Date],tCalendrier[Date],tCalendrier[No_Semaine],"⚠ hors calendrier"))</f>
        <v/>
      </c>
      <c r="O21">
        <f>IF([@Date]="","",TEXT([@Date],"mm/aa"))</f>
        <v/>
      </c>
      <c r="P21">
        <f>IF(OR([@N_DA]="",[@Date]=""),"",IF(COUNTIFS([N_DA],[@N_DA],[Date],[@Date])&gt;1,"DOUBLON",""))</f>
        <v/>
      </c>
    </row>
    <row r="22">
      <c r="B22" s="5" t="n"/>
      <c r="E22">
        <f>UPPER(TRIM(SUBSTITUTE(SUBSTITUTE(SUBSTITUTE(A22,CHAR(160)," "),"  "," "),"  "," ")))</f>
        <v/>
      </c>
      <c r="F22">
        <f>IF([@Programmation]="","",IFERROR(_xlfn.XLOOKUP([@Programmation],tProgrammation[Programmation],tProgrammation[Compte_Present],FALSE),FALSE))</f>
        <v/>
      </c>
      <c r="G22" s="4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22">
        <f>IF([@N_DA]="","",IF(LEFT([@N_DA],1)="⚠",SUBSTITUTE([@N_DA],"⚠ ",""),"OK"))</f>
        <v/>
      </c>
      <c r="I22">
        <f>IF([@Statut_Resolution]="OK",_xlfn.XLOOKUP([@N_DA],tDA[N_DA],tDA[Cotation_accordee],""),"")</f>
        <v/>
      </c>
      <c r="J22">
        <f>IF([@Statut_Resolution]="OK",_xlfn.XLOOKUP([@N_DA],tDA[N_DA],tDA[Regime],""),"")</f>
        <v/>
      </c>
      <c r="K22">
        <f>IF([@Statut_Resolution]="OK",_xlfn.XLOOKUP([@N_DA],tDA[N_DA],tDA[Nb_Je_Accorde],0),"")</f>
        <v/>
      </c>
      <c r="L22">
        <f>IF([@Statut_Resolution]="OK",_xlfn.XLOOKUP([@N_DA],tDA[N_DA],tDA[PEC],""),"")</f>
        <v/>
      </c>
      <c r="M22">
        <f>IF([@Statut_Resolution]="OK",_xlfn.XLOOKUP([@N_DA],tDA[N_DA],tDA[Groupe],""),"")</f>
        <v/>
      </c>
      <c r="N22">
        <f>IF([@Date]="","",_xlfn.XLOOKUP([@Date],tCalendrier[Date],tCalendrier[No_Semaine],"⚠ hors calendrier"))</f>
        <v/>
      </c>
      <c r="O22">
        <f>IF([@Date]="","",TEXT([@Date],"mm/aa"))</f>
        <v/>
      </c>
      <c r="P22">
        <f>IF(OR([@N_DA]="",[@Date]=""),"",IF(COUNTIFS([N_DA],[@N_DA],[Date],[@Date])&gt;1,"DOUBLON",""))</f>
        <v/>
      </c>
    </row>
    <row r="23">
      <c r="B23" s="5" t="n"/>
      <c r="E23">
        <f>UPPER(TRIM(SUBSTITUTE(SUBSTITUTE(SUBSTITUTE(A23,CHAR(160)," "),"  "," "),"  "," ")))</f>
        <v/>
      </c>
      <c r="F23">
        <f>IF([@Programmation]="","",IFERROR(_xlfn.XLOOKUP([@Programmation],tProgrammation[Programmation],tProgrammation[Compte_Present],FALSE),FALSE))</f>
        <v/>
      </c>
      <c r="G23" s="4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23">
        <f>IF([@N_DA]="","",IF(LEFT([@N_DA],1)="⚠",SUBSTITUTE([@N_DA],"⚠ ",""),"OK"))</f>
        <v/>
      </c>
      <c r="I23">
        <f>IF([@Statut_Resolution]="OK",_xlfn.XLOOKUP([@N_DA],tDA[N_DA],tDA[Cotation_accordee],""),"")</f>
        <v/>
      </c>
      <c r="J23">
        <f>IF([@Statut_Resolution]="OK",_xlfn.XLOOKUP([@N_DA],tDA[N_DA],tDA[Regime],""),"")</f>
        <v/>
      </c>
      <c r="K23">
        <f>IF([@Statut_Resolution]="OK",_xlfn.XLOOKUP([@N_DA],tDA[N_DA],tDA[Nb_Je_Accorde],0),"")</f>
        <v/>
      </c>
      <c r="L23">
        <f>IF([@Statut_Resolution]="OK",_xlfn.XLOOKUP([@N_DA],tDA[N_DA],tDA[PEC],""),"")</f>
        <v/>
      </c>
      <c r="M23">
        <f>IF([@Statut_Resolution]="OK",_xlfn.XLOOKUP([@N_DA],tDA[N_DA],tDA[Groupe],""),"")</f>
        <v/>
      </c>
      <c r="N23">
        <f>IF([@Date]="","",_xlfn.XLOOKUP([@Date],tCalendrier[Date],tCalendrier[No_Semaine],"⚠ hors calendrier"))</f>
        <v/>
      </c>
      <c r="O23">
        <f>IF([@Date]="","",TEXT([@Date],"mm/aa"))</f>
        <v/>
      </c>
      <c r="P23">
        <f>IF(OR([@N_DA]="",[@Date]=""),"",IF(COUNTIFS([N_DA],[@N_DA],[Date],[@Date])&gt;1,"DOUBLON",""))</f>
        <v/>
      </c>
    </row>
    <row r="24">
      <c r="B24" s="5" t="n"/>
      <c r="E24">
        <f>UPPER(TRIM(SUBSTITUTE(SUBSTITUTE(SUBSTITUTE(A24,CHAR(160)," "),"  "," "),"  "," ")))</f>
        <v/>
      </c>
      <c r="F24">
        <f>IF([@Programmation]="","",IFERROR(_xlfn.XLOOKUP([@Programmation],tProgrammation[Programmation],tProgrammation[Compte_Present],FALSE),FALSE))</f>
        <v/>
      </c>
      <c r="G24" s="4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24">
        <f>IF([@N_DA]="","",IF(LEFT([@N_DA],1)="⚠",SUBSTITUTE([@N_DA],"⚠ ",""),"OK"))</f>
        <v/>
      </c>
      <c r="I24">
        <f>IF([@Statut_Resolution]="OK",_xlfn.XLOOKUP([@N_DA],tDA[N_DA],tDA[Cotation_accordee],""),"")</f>
        <v/>
      </c>
      <c r="J24">
        <f>IF([@Statut_Resolution]="OK",_xlfn.XLOOKUP([@N_DA],tDA[N_DA],tDA[Regime],""),"")</f>
        <v/>
      </c>
      <c r="K24">
        <f>IF([@Statut_Resolution]="OK",_xlfn.XLOOKUP([@N_DA],tDA[N_DA],tDA[Nb_Je_Accorde],0),"")</f>
        <v/>
      </c>
      <c r="L24">
        <f>IF([@Statut_Resolution]="OK",_xlfn.XLOOKUP([@N_DA],tDA[N_DA],tDA[PEC],""),"")</f>
        <v/>
      </c>
      <c r="M24">
        <f>IF([@Statut_Resolution]="OK",_xlfn.XLOOKUP([@N_DA],tDA[N_DA],tDA[Groupe],""),"")</f>
        <v/>
      </c>
      <c r="N24">
        <f>IF([@Date]="","",_xlfn.XLOOKUP([@Date],tCalendrier[Date],tCalendrier[No_Semaine],"⚠ hors calendrier"))</f>
        <v/>
      </c>
      <c r="O24">
        <f>IF([@Date]="","",TEXT([@Date],"mm/aa"))</f>
        <v/>
      </c>
      <c r="P24">
        <f>IF(OR([@N_DA]="",[@Date]=""),"",IF(COUNTIFS([N_DA],[@N_DA],[Date],[@Date])&gt;1,"DOUBLON",""))</f>
        <v/>
      </c>
    </row>
    <row r="25">
      <c r="B25" s="5" t="n"/>
      <c r="E25">
        <f>UPPER(TRIM(SUBSTITUTE(SUBSTITUTE(SUBSTITUTE(A25,CHAR(160)," "),"  "," "),"  "," ")))</f>
        <v/>
      </c>
      <c r="F25">
        <f>IF([@Programmation]="","",IFERROR(_xlfn.XLOOKUP([@Programmation],tProgrammation[Programmation],tProgrammation[Compte_Present],FALSE),FALSE))</f>
        <v/>
      </c>
      <c r="G25" s="4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25">
        <f>IF([@N_DA]="","",IF(LEFT([@N_DA],1)="⚠",SUBSTITUTE([@N_DA],"⚠ ",""),"OK"))</f>
        <v/>
      </c>
      <c r="I25">
        <f>IF([@Statut_Resolution]="OK",_xlfn.XLOOKUP([@N_DA],tDA[N_DA],tDA[Cotation_accordee],""),"")</f>
        <v/>
      </c>
      <c r="J25">
        <f>IF([@Statut_Resolution]="OK",_xlfn.XLOOKUP([@N_DA],tDA[N_DA],tDA[Regime],""),"")</f>
        <v/>
      </c>
      <c r="K25">
        <f>IF([@Statut_Resolution]="OK",_xlfn.XLOOKUP([@N_DA],tDA[N_DA],tDA[Nb_Je_Accorde],0),"")</f>
        <v/>
      </c>
      <c r="L25">
        <f>IF([@Statut_Resolution]="OK",_xlfn.XLOOKUP([@N_DA],tDA[N_DA],tDA[PEC],""),"")</f>
        <v/>
      </c>
      <c r="M25">
        <f>IF([@Statut_Resolution]="OK",_xlfn.XLOOKUP([@N_DA],tDA[N_DA],tDA[Groupe],""),"")</f>
        <v/>
      </c>
      <c r="N25">
        <f>IF([@Date]="","",_xlfn.XLOOKUP([@Date],tCalendrier[Date],tCalendrier[No_Semaine],"⚠ hors calendrier"))</f>
        <v/>
      </c>
      <c r="O25">
        <f>IF([@Date]="","",TEXT([@Date],"mm/aa"))</f>
        <v/>
      </c>
      <c r="P25">
        <f>IF(OR([@N_DA]="",[@Date]=""),"",IF(COUNTIFS([N_DA],[@N_DA],[Date],[@Date])&gt;1,"DOUBLON",""))</f>
        <v/>
      </c>
    </row>
    <row r="26">
      <c r="B26" s="5" t="n"/>
      <c r="E26">
        <f>UPPER(TRIM(SUBSTITUTE(SUBSTITUTE(SUBSTITUTE(A26,CHAR(160)," "),"  "," "),"  "," ")))</f>
        <v/>
      </c>
      <c r="F26">
        <f>IF([@Programmation]="","",IFERROR(_xlfn.XLOOKUP([@Programmation],tProgrammation[Programmation],tProgrammation[Compte_Present],FALSE),FALSE))</f>
        <v/>
      </c>
      <c r="G26" s="4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26">
        <f>IF([@N_DA]="","",IF(LEFT([@N_DA],1)="⚠",SUBSTITUTE([@N_DA],"⚠ ",""),"OK"))</f>
        <v/>
      </c>
      <c r="I26">
        <f>IF([@Statut_Resolution]="OK",_xlfn.XLOOKUP([@N_DA],tDA[N_DA],tDA[Cotation_accordee],""),"")</f>
        <v/>
      </c>
      <c r="J26">
        <f>IF([@Statut_Resolution]="OK",_xlfn.XLOOKUP([@N_DA],tDA[N_DA],tDA[Regime],""),"")</f>
        <v/>
      </c>
      <c r="K26">
        <f>IF([@Statut_Resolution]="OK",_xlfn.XLOOKUP([@N_DA],tDA[N_DA],tDA[Nb_Je_Accorde],0),"")</f>
        <v/>
      </c>
      <c r="L26">
        <f>IF([@Statut_Resolution]="OK",_xlfn.XLOOKUP([@N_DA],tDA[N_DA],tDA[PEC],""),"")</f>
        <v/>
      </c>
      <c r="M26">
        <f>IF([@Statut_Resolution]="OK",_xlfn.XLOOKUP([@N_DA],tDA[N_DA],tDA[Groupe],""),"")</f>
        <v/>
      </c>
      <c r="N26">
        <f>IF([@Date]="","",_xlfn.XLOOKUP([@Date],tCalendrier[Date],tCalendrier[No_Semaine],"⚠ hors calendrier"))</f>
        <v/>
      </c>
      <c r="O26">
        <f>IF([@Date]="","",TEXT([@Date],"mm/aa"))</f>
        <v/>
      </c>
      <c r="P26">
        <f>IF(OR([@N_DA]="",[@Date]=""),"",IF(COUNTIFS([N_DA],[@N_DA],[Date],[@Date])&gt;1,"DOUBLON",""))</f>
        <v/>
      </c>
    </row>
    <row r="27">
      <c r="B27" s="5" t="n"/>
      <c r="E27">
        <f>UPPER(TRIM(SUBSTITUTE(SUBSTITUTE(SUBSTITUTE(A27,CHAR(160)," "),"  "," "),"  "," ")))</f>
        <v/>
      </c>
      <c r="F27">
        <f>IF([@Programmation]="","",IFERROR(_xlfn.XLOOKUP([@Programmation],tProgrammation[Programmation],tProgrammation[Compte_Present],FALSE),FALSE))</f>
        <v/>
      </c>
      <c r="G27" s="4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27">
        <f>IF([@N_DA]="","",IF(LEFT([@N_DA],1)="⚠",SUBSTITUTE([@N_DA],"⚠ ",""),"OK"))</f>
        <v/>
      </c>
      <c r="I27">
        <f>IF([@Statut_Resolution]="OK",_xlfn.XLOOKUP([@N_DA],tDA[N_DA],tDA[Cotation_accordee],""),"")</f>
        <v/>
      </c>
      <c r="J27">
        <f>IF([@Statut_Resolution]="OK",_xlfn.XLOOKUP([@N_DA],tDA[N_DA],tDA[Regime],""),"")</f>
        <v/>
      </c>
      <c r="K27">
        <f>IF([@Statut_Resolution]="OK",_xlfn.XLOOKUP([@N_DA],tDA[N_DA],tDA[Nb_Je_Accorde],0),"")</f>
        <v/>
      </c>
      <c r="L27">
        <f>IF([@Statut_Resolution]="OK",_xlfn.XLOOKUP([@N_DA],tDA[N_DA],tDA[PEC],""),"")</f>
        <v/>
      </c>
      <c r="M27">
        <f>IF([@Statut_Resolution]="OK",_xlfn.XLOOKUP([@N_DA],tDA[N_DA],tDA[Groupe],""),"")</f>
        <v/>
      </c>
      <c r="N27">
        <f>IF([@Date]="","",_xlfn.XLOOKUP([@Date],tCalendrier[Date],tCalendrier[No_Semaine],"⚠ hors calendrier"))</f>
        <v/>
      </c>
      <c r="O27">
        <f>IF([@Date]="","",TEXT([@Date],"mm/aa"))</f>
        <v/>
      </c>
      <c r="P27">
        <f>IF(OR([@N_DA]="",[@Date]=""),"",IF(COUNTIFS([N_DA],[@N_DA],[Date],[@Date])&gt;1,"DOUBLON",""))</f>
        <v/>
      </c>
    </row>
    <row r="28">
      <c r="B28" s="5" t="n"/>
      <c r="E28">
        <f>UPPER(TRIM(SUBSTITUTE(SUBSTITUTE(SUBSTITUTE(A28,CHAR(160)," "),"  "," "),"  "," ")))</f>
        <v/>
      </c>
      <c r="F28">
        <f>IF([@Programmation]="","",IFERROR(_xlfn.XLOOKUP([@Programmation],tProgrammation[Programmation],tProgrammation[Compte_Present],FALSE),FALSE))</f>
        <v/>
      </c>
      <c r="G28" s="4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28">
        <f>IF([@N_DA]="","",IF(LEFT([@N_DA],1)="⚠",SUBSTITUTE([@N_DA],"⚠ ",""),"OK"))</f>
        <v/>
      </c>
      <c r="I28">
        <f>IF([@Statut_Resolution]="OK",_xlfn.XLOOKUP([@N_DA],tDA[N_DA],tDA[Cotation_accordee],""),"")</f>
        <v/>
      </c>
      <c r="J28">
        <f>IF([@Statut_Resolution]="OK",_xlfn.XLOOKUP([@N_DA],tDA[N_DA],tDA[Regime],""),"")</f>
        <v/>
      </c>
      <c r="K28">
        <f>IF([@Statut_Resolution]="OK",_xlfn.XLOOKUP([@N_DA],tDA[N_DA],tDA[Nb_Je_Accorde],0),"")</f>
        <v/>
      </c>
      <c r="L28">
        <f>IF([@Statut_Resolution]="OK",_xlfn.XLOOKUP([@N_DA],tDA[N_DA],tDA[PEC],""),"")</f>
        <v/>
      </c>
      <c r="M28">
        <f>IF([@Statut_Resolution]="OK",_xlfn.XLOOKUP([@N_DA],tDA[N_DA],tDA[Groupe],""),"")</f>
        <v/>
      </c>
      <c r="N28">
        <f>IF([@Date]="","",_xlfn.XLOOKUP([@Date],tCalendrier[Date],tCalendrier[No_Semaine],"⚠ hors calendrier"))</f>
        <v/>
      </c>
      <c r="O28">
        <f>IF([@Date]="","",TEXT([@Date],"mm/aa"))</f>
        <v/>
      </c>
      <c r="P28">
        <f>IF(OR([@N_DA]="",[@Date]=""),"",IF(COUNTIFS([N_DA],[@N_DA],[Date],[@Date])&gt;1,"DOUBLON",""))</f>
        <v/>
      </c>
    </row>
    <row r="29">
      <c r="B29" s="5" t="n"/>
      <c r="E29">
        <f>UPPER(TRIM(SUBSTITUTE(SUBSTITUTE(SUBSTITUTE(A29,CHAR(160)," "),"  "," "),"  "," ")))</f>
        <v/>
      </c>
      <c r="F29">
        <f>IF([@Programmation]="","",IFERROR(_xlfn.XLOOKUP([@Programmation],tProgrammation[Programmation],tProgrammation[Compte_Present],FALSE),FALSE))</f>
        <v/>
      </c>
      <c r="G29" s="4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29">
        <f>IF([@N_DA]="","",IF(LEFT([@N_DA],1)="⚠",SUBSTITUTE([@N_DA],"⚠ ",""),"OK"))</f>
        <v/>
      </c>
      <c r="I29">
        <f>IF([@Statut_Resolution]="OK",_xlfn.XLOOKUP([@N_DA],tDA[N_DA],tDA[Cotation_accordee],""),"")</f>
        <v/>
      </c>
      <c r="J29">
        <f>IF([@Statut_Resolution]="OK",_xlfn.XLOOKUP([@N_DA],tDA[N_DA],tDA[Regime],""),"")</f>
        <v/>
      </c>
      <c r="K29">
        <f>IF([@Statut_Resolution]="OK",_xlfn.XLOOKUP([@N_DA],tDA[N_DA],tDA[Nb_Je_Accorde],0),"")</f>
        <v/>
      </c>
      <c r="L29">
        <f>IF([@Statut_Resolution]="OK",_xlfn.XLOOKUP([@N_DA],tDA[N_DA],tDA[PEC],""),"")</f>
        <v/>
      </c>
      <c r="M29">
        <f>IF([@Statut_Resolution]="OK",_xlfn.XLOOKUP([@N_DA],tDA[N_DA],tDA[Groupe],""),"")</f>
        <v/>
      </c>
      <c r="N29">
        <f>IF([@Date]="","",_xlfn.XLOOKUP([@Date],tCalendrier[Date],tCalendrier[No_Semaine],"⚠ hors calendrier"))</f>
        <v/>
      </c>
      <c r="O29">
        <f>IF([@Date]="","",TEXT([@Date],"mm/aa"))</f>
        <v/>
      </c>
      <c r="P29">
        <f>IF(OR([@N_DA]="",[@Date]=""),"",IF(COUNTIFS([N_DA],[@N_DA],[Date],[@Date])&gt;1,"DOUBLON",""))</f>
        <v/>
      </c>
    </row>
    <row r="30">
      <c r="B30" s="5" t="n"/>
      <c r="E30">
        <f>UPPER(TRIM(SUBSTITUTE(SUBSTITUTE(SUBSTITUTE(A30,CHAR(160)," "),"  "," "),"  "," ")))</f>
        <v/>
      </c>
      <c r="F30">
        <f>IF([@Programmation]="","",IFERROR(_xlfn.XLOOKUP([@Programmation],tProgrammation[Programmation],tProgrammation[Compte_Present],FALSE),FALSE))</f>
        <v/>
      </c>
      <c r="G30" s="4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30">
        <f>IF([@N_DA]="","",IF(LEFT([@N_DA],1)="⚠",SUBSTITUTE([@N_DA],"⚠ ",""),"OK"))</f>
        <v/>
      </c>
      <c r="I30">
        <f>IF([@Statut_Resolution]="OK",_xlfn.XLOOKUP([@N_DA],tDA[N_DA],tDA[Cotation_accordee],""),"")</f>
        <v/>
      </c>
      <c r="J30">
        <f>IF([@Statut_Resolution]="OK",_xlfn.XLOOKUP([@N_DA],tDA[N_DA],tDA[Regime],""),"")</f>
        <v/>
      </c>
      <c r="K30">
        <f>IF([@Statut_Resolution]="OK",_xlfn.XLOOKUP([@N_DA],tDA[N_DA],tDA[Nb_Je_Accorde],0),"")</f>
        <v/>
      </c>
      <c r="L30">
        <f>IF([@Statut_Resolution]="OK",_xlfn.XLOOKUP([@N_DA],tDA[N_DA],tDA[PEC],""),"")</f>
        <v/>
      </c>
      <c r="M30">
        <f>IF([@Statut_Resolution]="OK",_xlfn.XLOOKUP([@N_DA],tDA[N_DA],tDA[Groupe],""),"")</f>
        <v/>
      </c>
      <c r="N30">
        <f>IF([@Date]="","",_xlfn.XLOOKUP([@Date],tCalendrier[Date],tCalendrier[No_Semaine],"⚠ hors calendrier"))</f>
        <v/>
      </c>
      <c r="O30">
        <f>IF([@Date]="","",TEXT([@Date],"mm/aa"))</f>
        <v/>
      </c>
      <c r="P30">
        <f>IF(OR([@N_DA]="",[@Date]=""),"",IF(COUNTIFS([N_DA],[@N_DA],[Date],[@Date])&gt;1,"DOUBLON",""))</f>
        <v/>
      </c>
    </row>
    <row r="31">
      <c r="B31" s="5" t="n"/>
      <c r="E31">
        <f>UPPER(TRIM(SUBSTITUTE(SUBSTITUTE(SUBSTITUTE(A31,CHAR(160)," "),"  "," "),"  "," ")))</f>
        <v/>
      </c>
      <c r="F31">
        <f>IF([@Programmation]="","",IFERROR(_xlfn.XLOOKUP([@Programmation],tProgrammation[Programmation],tProgrammation[Compte_Present],FALSE),FALSE))</f>
        <v/>
      </c>
      <c r="G31" s="4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31">
        <f>IF([@N_DA]="","",IF(LEFT([@N_DA],1)="⚠",SUBSTITUTE([@N_DA],"⚠ ",""),"OK"))</f>
        <v/>
      </c>
      <c r="I31">
        <f>IF([@Statut_Resolution]="OK",_xlfn.XLOOKUP([@N_DA],tDA[N_DA],tDA[Cotation_accordee],""),"")</f>
        <v/>
      </c>
      <c r="J31">
        <f>IF([@Statut_Resolution]="OK",_xlfn.XLOOKUP([@N_DA],tDA[N_DA],tDA[Regime],""),"")</f>
        <v/>
      </c>
      <c r="K31">
        <f>IF([@Statut_Resolution]="OK",_xlfn.XLOOKUP([@N_DA],tDA[N_DA],tDA[Nb_Je_Accorde],0),"")</f>
        <v/>
      </c>
      <c r="L31">
        <f>IF([@Statut_Resolution]="OK",_xlfn.XLOOKUP([@N_DA],tDA[N_DA],tDA[PEC],""),"")</f>
        <v/>
      </c>
      <c r="M31">
        <f>IF([@Statut_Resolution]="OK",_xlfn.XLOOKUP([@N_DA],tDA[N_DA],tDA[Groupe],""),"")</f>
        <v/>
      </c>
      <c r="N31">
        <f>IF([@Date]="","",_xlfn.XLOOKUP([@Date],tCalendrier[Date],tCalendrier[No_Semaine],"⚠ hors calendrier"))</f>
        <v/>
      </c>
      <c r="O31">
        <f>IF([@Date]="","",TEXT([@Date],"mm/aa"))</f>
        <v/>
      </c>
      <c r="P31">
        <f>IF(OR([@N_DA]="",[@Date]=""),"",IF(COUNTIFS([N_DA],[@N_DA],[Date],[@Date])&gt;1,"DOUBLON",""))</f>
        <v/>
      </c>
    </row>
  </sheetData>
  <conditionalFormatting sqref="A2:P31">
    <cfRule type="expression" priority="1" dxfId="0">
      <formula>OR($H2="HORS LISTE",$H2="SANS DA",$H2="MULTI DA")</formula>
    </cfRule>
    <cfRule type="expression" priority="2" dxfId="0">
      <formula>$P2="DOUBLON"</formula>
    </cfRule>
  </conditionalFormatting>
  <dataValidations count="3">
    <dataValidation sqref="A2:A31" showDropDown="0" showInputMessage="0" showErrorMessage="0" allowBlank="1" errorTitle="Hors référentiel" error="Valeur hors liste — saisie autorisée, ligne signalée." type="list" errorStyle="warning">
      <formula1>=nrPatients</formula1>
    </dataValidation>
    <dataValidation sqref="C2:C31" showDropDown="0" showInputMessage="0" showErrorMessage="0" allowBlank="1" type="list" errorStyle="stop">
      <formula1>=nrProgrammation</formula1>
    </dataValidation>
    <dataValidation sqref="D2:D31" showDropDown="0" showInputMessage="0" showErrorMessage="0" allowBlank="1" type="list" errorStyle="stop">
      <formula1>=nrParcours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  <col width="14" customWidth="1" min="14" max="14"/>
    <col width="19" customWidth="1" min="15" max="15"/>
  </cols>
  <sheetData>
    <row r="1">
      <c r="A1" s="1" t="inlineStr">
        <is>
          <t>Patient</t>
        </is>
      </c>
      <c r="B1" s="1" t="inlineStr">
        <is>
          <t>Cle_Patient_Norm</t>
        </is>
      </c>
      <c r="C1" s="1" t="inlineStr">
        <is>
          <t>Date</t>
        </is>
      </c>
      <c r="D1" s="1" t="inlineStr">
        <is>
          <t>Programmation</t>
        </is>
      </c>
      <c r="E1" s="1" t="inlineStr">
        <is>
          <t>Est_Present</t>
        </is>
      </c>
      <c r="F1" s="1" t="inlineStr">
        <is>
          <t>Parcours</t>
        </is>
      </c>
      <c r="G1" s="1" t="inlineStr">
        <is>
          <t>N_DA</t>
        </is>
      </c>
      <c r="H1" s="1" t="inlineStr">
        <is>
          <t>Cotation</t>
        </is>
      </c>
      <c r="I1" s="1" t="inlineStr">
        <is>
          <t>Regime</t>
        </is>
      </c>
      <c r="J1" s="1" t="inlineStr">
        <is>
          <t>Nb_Je_accordes</t>
        </is>
      </c>
      <c r="K1" s="1" t="inlineStr">
        <is>
          <t>Semaine</t>
        </is>
      </c>
      <c r="L1" s="1" t="inlineStr">
        <is>
          <t>Mois</t>
        </is>
      </c>
      <c r="M1" s="1" t="inlineStr">
        <is>
          <t>Groupe</t>
        </is>
      </c>
      <c r="N1" s="1" t="inlineStr">
        <is>
          <t>PEC</t>
        </is>
      </c>
      <c r="O1" s="1" t="inlineStr">
        <is>
          <t>Statut_Resolution</t>
        </is>
      </c>
    </row>
    <row r="2">
      <c r="A2">
        <f>IF(ROW()-1&lt;=ROWS(tPresences),INDEX(tPresences[Patient],ROW()-1),"")</f>
        <v/>
      </c>
      <c r="B2">
        <f>IF(ROW()-1&lt;=ROWS(tPresences),INDEX(tPresences[Cle_Patient_Norm],ROW()-1),"")</f>
        <v/>
      </c>
      <c r="C2" s="5">
        <f>IF(ROW()-1&lt;=ROWS(tPresences),INDEX(tPresences[Date],ROW()-1),"")</f>
        <v/>
      </c>
      <c r="D2">
        <f>IF(ROW()-1&lt;=ROWS(tPresences),INDEX(tPresences[Programmation],ROW()-1),"")</f>
        <v/>
      </c>
      <c r="E2">
        <f>IF(ROW()-1&lt;=ROWS(tPresences),INDEX(tPresences[Est_Present],ROW()-1),"")</f>
        <v/>
      </c>
      <c r="F2">
        <f>IF(ROW()-1&lt;=ROWS(tPresences),INDEX(tPresences[Parcours],ROW()-1),"")</f>
        <v/>
      </c>
      <c r="G2" s="4">
        <f>IF(ROW()-1&lt;=ROWS(tPresences),INDEX(tPresences[N_DA],ROW()-1),"")</f>
        <v/>
      </c>
      <c r="H2">
        <f>IF(ROW()-1&lt;=ROWS(tPresences),INDEX(tPresences[Cotation],ROW()-1),"")</f>
        <v/>
      </c>
      <c r="I2">
        <f>IF(ROW()-1&lt;=ROWS(tPresences),INDEX(tPresences[Regime],ROW()-1),"")</f>
        <v/>
      </c>
      <c r="J2">
        <f>IF(ROW()-1&lt;=ROWS(tPresences),INDEX(tPresences[Nb_Je_accordes],ROW()-1),"")</f>
        <v/>
      </c>
      <c r="K2">
        <f>IF(ROW()-1&lt;=ROWS(tPresences),INDEX(tPresences[Semaine],ROW()-1),"")</f>
        <v/>
      </c>
      <c r="L2">
        <f>IF(ROW()-1&lt;=ROWS(tPresences),INDEX(tPresences[Mois],ROW()-1),"")</f>
        <v/>
      </c>
      <c r="M2">
        <f>IF(ROW()-1&lt;=ROWS(tPresences),INDEX(tPresences[Groupe],ROW()-1),"")</f>
        <v/>
      </c>
      <c r="N2">
        <f>IF(ROW()-1&lt;=ROWS(tPresences),INDEX(tPresences[PEC],ROW()-1),"")</f>
        <v/>
      </c>
      <c r="O2">
        <f>IF(ROW()-1&lt;=ROWS(tPresences),INDEX(tPresences[Statut_Resolution],ROW()-1),"")</f>
        <v/>
      </c>
    </row>
    <row r="3">
      <c r="A3">
        <f>IF(ROW()-1&lt;=ROWS(tPresences),INDEX(tPresences[Patient],ROW()-1),"")</f>
        <v/>
      </c>
      <c r="B3">
        <f>IF(ROW()-1&lt;=ROWS(tPresences),INDEX(tPresences[Cle_Patient_Norm],ROW()-1),"")</f>
        <v/>
      </c>
      <c r="C3" s="5">
        <f>IF(ROW()-1&lt;=ROWS(tPresences),INDEX(tPresences[Date],ROW()-1),"")</f>
        <v/>
      </c>
      <c r="D3">
        <f>IF(ROW()-1&lt;=ROWS(tPresences),INDEX(tPresences[Programmation],ROW()-1),"")</f>
        <v/>
      </c>
      <c r="E3">
        <f>IF(ROW()-1&lt;=ROWS(tPresences),INDEX(tPresences[Est_Present],ROW()-1),"")</f>
        <v/>
      </c>
      <c r="F3">
        <f>IF(ROW()-1&lt;=ROWS(tPresences),INDEX(tPresences[Parcours],ROW()-1),"")</f>
        <v/>
      </c>
      <c r="G3" s="4">
        <f>IF(ROW()-1&lt;=ROWS(tPresences),INDEX(tPresences[N_DA],ROW()-1),"")</f>
        <v/>
      </c>
      <c r="H3">
        <f>IF(ROW()-1&lt;=ROWS(tPresences),INDEX(tPresences[Cotation],ROW()-1),"")</f>
        <v/>
      </c>
      <c r="I3">
        <f>IF(ROW()-1&lt;=ROWS(tPresences),INDEX(tPresences[Regime],ROW()-1),"")</f>
        <v/>
      </c>
      <c r="J3">
        <f>IF(ROW()-1&lt;=ROWS(tPresences),INDEX(tPresences[Nb_Je_accordes],ROW()-1),"")</f>
        <v/>
      </c>
      <c r="K3">
        <f>IF(ROW()-1&lt;=ROWS(tPresences),INDEX(tPresences[Semaine],ROW()-1),"")</f>
        <v/>
      </c>
      <c r="L3">
        <f>IF(ROW()-1&lt;=ROWS(tPresences),INDEX(tPresences[Mois],ROW()-1),"")</f>
        <v/>
      </c>
      <c r="M3">
        <f>IF(ROW()-1&lt;=ROWS(tPresences),INDEX(tPresences[Groupe],ROW()-1),"")</f>
        <v/>
      </c>
      <c r="N3">
        <f>IF(ROW()-1&lt;=ROWS(tPresences),INDEX(tPresences[PEC],ROW()-1),"")</f>
        <v/>
      </c>
      <c r="O3">
        <f>IF(ROW()-1&lt;=ROWS(tPresences),INDEX(tPresences[Statut_Resolution],ROW()-1),"")</f>
        <v/>
      </c>
    </row>
    <row r="4">
      <c r="A4">
        <f>IF(ROW()-1&lt;=ROWS(tPresences),INDEX(tPresences[Patient],ROW()-1),"")</f>
        <v/>
      </c>
      <c r="B4">
        <f>IF(ROW()-1&lt;=ROWS(tPresences),INDEX(tPresences[Cle_Patient_Norm],ROW()-1),"")</f>
        <v/>
      </c>
      <c r="C4" s="5">
        <f>IF(ROW()-1&lt;=ROWS(tPresences),INDEX(tPresences[Date],ROW()-1),"")</f>
        <v/>
      </c>
      <c r="D4">
        <f>IF(ROW()-1&lt;=ROWS(tPresences),INDEX(tPresences[Programmation],ROW()-1),"")</f>
        <v/>
      </c>
      <c r="E4">
        <f>IF(ROW()-1&lt;=ROWS(tPresences),INDEX(tPresences[Est_Present],ROW()-1),"")</f>
        <v/>
      </c>
      <c r="F4">
        <f>IF(ROW()-1&lt;=ROWS(tPresences),INDEX(tPresences[Parcours],ROW()-1),"")</f>
        <v/>
      </c>
      <c r="G4" s="4">
        <f>IF(ROW()-1&lt;=ROWS(tPresences),INDEX(tPresences[N_DA],ROW()-1),"")</f>
        <v/>
      </c>
      <c r="H4">
        <f>IF(ROW()-1&lt;=ROWS(tPresences),INDEX(tPresences[Cotation],ROW()-1),"")</f>
        <v/>
      </c>
      <c r="I4">
        <f>IF(ROW()-1&lt;=ROWS(tPresences),INDEX(tPresences[Regime],ROW()-1),"")</f>
        <v/>
      </c>
      <c r="J4">
        <f>IF(ROW()-1&lt;=ROWS(tPresences),INDEX(tPresences[Nb_Je_accordes],ROW()-1),"")</f>
        <v/>
      </c>
      <c r="K4">
        <f>IF(ROW()-1&lt;=ROWS(tPresences),INDEX(tPresences[Semaine],ROW()-1),"")</f>
        <v/>
      </c>
      <c r="L4">
        <f>IF(ROW()-1&lt;=ROWS(tPresences),INDEX(tPresences[Mois],ROW()-1),"")</f>
        <v/>
      </c>
      <c r="M4">
        <f>IF(ROW()-1&lt;=ROWS(tPresences),INDEX(tPresences[Groupe],ROW()-1),"")</f>
        <v/>
      </c>
      <c r="N4">
        <f>IF(ROW()-1&lt;=ROWS(tPresences),INDEX(tPresences[PEC],ROW()-1),"")</f>
        <v/>
      </c>
      <c r="O4">
        <f>IF(ROW()-1&lt;=ROWS(tPresences),INDEX(tPresences[Statut_Resolution],ROW()-1),"")</f>
        <v/>
      </c>
    </row>
    <row r="5">
      <c r="A5">
        <f>IF(ROW()-1&lt;=ROWS(tPresences),INDEX(tPresences[Patient],ROW()-1),"")</f>
        <v/>
      </c>
      <c r="B5">
        <f>IF(ROW()-1&lt;=ROWS(tPresences),INDEX(tPresences[Cle_Patient_Norm],ROW()-1),"")</f>
        <v/>
      </c>
      <c r="C5" s="5">
        <f>IF(ROW()-1&lt;=ROWS(tPresences),INDEX(tPresences[Date],ROW()-1),"")</f>
        <v/>
      </c>
      <c r="D5">
        <f>IF(ROW()-1&lt;=ROWS(tPresences),INDEX(tPresences[Programmation],ROW()-1),"")</f>
        <v/>
      </c>
      <c r="E5">
        <f>IF(ROW()-1&lt;=ROWS(tPresences),INDEX(tPresences[Est_Present],ROW()-1),"")</f>
        <v/>
      </c>
      <c r="F5">
        <f>IF(ROW()-1&lt;=ROWS(tPresences),INDEX(tPresences[Parcours],ROW()-1),"")</f>
        <v/>
      </c>
      <c r="G5" s="4">
        <f>IF(ROW()-1&lt;=ROWS(tPresences),INDEX(tPresences[N_DA],ROW()-1),"")</f>
        <v/>
      </c>
      <c r="H5">
        <f>IF(ROW()-1&lt;=ROWS(tPresences),INDEX(tPresences[Cotation],ROW()-1),"")</f>
        <v/>
      </c>
      <c r="I5">
        <f>IF(ROW()-1&lt;=ROWS(tPresences),INDEX(tPresences[Regime],ROW()-1),"")</f>
        <v/>
      </c>
      <c r="J5">
        <f>IF(ROW()-1&lt;=ROWS(tPresences),INDEX(tPresences[Nb_Je_accordes],ROW()-1),"")</f>
        <v/>
      </c>
      <c r="K5">
        <f>IF(ROW()-1&lt;=ROWS(tPresences),INDEX(tPresences[Semaine],ROW()-1),"")</f>
        <v/>
      </c>
      <c r="L5">
        <f>IF(ROW()-1&lt;=ROWS(tPresences),INDEX(tPresences[Mois],ROW()-1),"")</f>
        <v/>
      </c>
      <c r="M5">
        <f>IF(ROW()-1&lt;=ROWS(tPresences),INDEX(tPresences[Groupe],ROW()-1),"")</f>
        <v/>
      </c>
      <c r="N5">
        <f>IF(ROW()-1&lt;=ROWS(tPresences),INDEX(tPresences[PEC],ROW()-1),"")</f>
        <v/>
      </c>
      <c r="O5">
        <f>IF(ROW()-1&lt;=ROWS(tPresences),INDEX(tPresences[Statut_Resolution],ROW()-1),"")</f>
        <v/>
      </c>
    </row>
    <row r="6">
      <c r="A6">
        <f>IF(ROW()-1&lt;=ROWS(tPresences),INDEX(tPresences[Patient],ROW()-1),"")</f>
        <v/>
      </c>
      <c r="B6">
        <f>IF(ROW()-1&lt;=ROWS(tPresences),INDEX(tPresences[Cle_Patient_Norm],ROW()-1),"")</f>
        <v/>
      </c>
      <c r="C6" s="5">
        <f>IF(ROW()-1&lt;=ROWS(tPresences),INDEX(tPresences[Date],ROW()-1),"")</f>
        <v/>
      </c>
      <c r="D6">
        <f>IF(ROW()-1&lt;=ROWS(tPresences),INDEX(tPresences[Programmation],ROW()-1),"")</f>
        <v/>
      </c>
      <c r="E6">
        <f>IF(ROW()-1&lt;=ROWS(tPresences),INDEX(tPresences[Est_Present],ROW()-1),"")</f>
        <v/>
      </c>
      <c r="F6">
        <f>IF(ROW()-1&lt;=ROWS(tPresences),INDEX(tPresences[Parcours],ROW()-1),"")</f>
        <v/>
      </c>
      <c r="G6" s="4">
        <f>IF(ROW()-1&lt;=ROWS(tPresences),INDEX(tPresences[N_DA],ROW()-1),"")</f>
        <v/>
      </c>
      <c r="H6">
        <f>IF(ROW()-1&lt;=ROWS(tPresences),INDEX(tPresences[Cotation],ROW()-1),"")</f>
        <v/>
      </c>
      <c r="I6">
        <f>IF(ROW()-1&lt;=ROWS(tPresences),INDEX(tPresences[Regime],ROW()-1),"")</f>
        <v/>
      </c>
      <c r="J6">
        <f>IF(ROW()-1&lt;=ROWS(tPresences),INDEX(tPresences[Nb_Je_accordes],ROW()-1),"")</f>
        <v/>
      </c>
      <c r="K6">
        <f>IF(ROW()-1&lt;=ROWS(tPresences),INDEX(tPresences[Semaine],ROW()-1),"")</f>
        <v/>
      </c>
      <c r="L6">
        <f>IF(ROW()-1&lt;=ROWS(tPresences),INDEX(tPresences[Mois],ROW()-1),"")</f>
        <v/>
      </c>
      <c r="M6">
        <f>IF(ROW()-1&lt;=ROWS(tPresences),INDEX(tPresences[Groupe],ROW()-1),"")</f>
        <v/>
      </c>
      <c r="N6">
        <f>IF(ROW()-1&lt;=ROWS(tPresences),INDEX(tPresences[PEC],ROW()-1),"")</f>
        <v/>
      </c>
      <c r="O6">
        <f>IF(ROW()-1&lt;=ROWS(tPresences),INDEX(tPresences[Statut_Resolution],ROW()-1),"")</f>
        <v/>
      </c>
    </row>
    <row r="7">
      <c r="A7">
        <f>IF(ROW()-1&lt;=ROWS(tPresences),INDEX(tPresences[Patient],ROW()-1),"")</f>
        <v/>
      </c>
      <c r="B7">
        <f>IF(ROW()-1&lt;=ROWS(tPresences),INDEX(tPresences[Cle_Patient_Norm],ROW()-1),"")</f>
        <v/>
      </c>
      <c r="C7" s="5">
        <f>IF(ROW()-1&lt;=ROWS(tPresences),INDEX(tPresences[Date],ROW()-1),"")</f>
        <v/>
      </c>
      <c r="D7">
        <f>IF(ROW()-1&lt;=ROWS(tPresences),INDEX(tPresences[Programmation],ROW()-1),"")</f>
        <v/>
      </c>
      <c r="E7">
        <f>IF(ROW()-1&lt;=ROWS(tPresences),INDEX(tPresences[Est_Present],ROW()-1),"")</f>
        <v/>
      </c>
      <c r="F7">
        <f>IF(ROW()-1&lt;=ROWS(tPresences),INDEX(tPresences[Parcours],ROW()-1),"")</f>
        <v/>
      </c>
      <c r="G7" s="4">
        <f>IF(ROW()-1&lt;=ROWS(tPresences),INDEX(tPresences[N_DA],ROW()-1),"")</f>
        <v/>
      </c>
      <c r="H7">
        <f>IF(ROW()-1&lt;=ROWS(tPresences),INDEX(tPresences[Cotation],ROW()-1),"")</f>
        <v/>
      </c>
      <c r="I7">
        <f>IF(ROW()-1&lt;=ROWS(tPresences),INDEX(tPresences[Regime],ROW()-1),"")</f>
        <v/>
      </c>
      <c r="J7">
        <f>IF(ROW()-1&lt;=ROWS(tPresences),INDEX(tPresences[Nb_Je_accordes],ROW()-1),"")</f>
        <v/>
      </c>
      <c r="K7">
        <f>IF(ROW()-1&lt;=ROWS(tPresences),INDEX(tPresences[Semaine],ROW()-1),"")</f>
        <v/>
      </c>
      <c r="L7">
        <f>IF(ROW()-1&lt;=ROWS(tPresences),INDEX(tPresences[Mois],ROW()-1),"")</f>
        <v/>
      </c>
      <c r="M7">
        <f>IF(ROW()-1&lt;=ROWS(tPresences),INDEX(tPresences[Groupe],ROW()-1),"")</f>
        <v/>
      </c>
      <c r="N7">
        <f>IF(ROW()-1&lt;=ROWS(tPresences),INDEX(tPresences[PEC],ROW()-1),"")</f>
        <v/>
      </c>
      <c r="O7">
        <f>IF(ROW()-1&lt;=ROWS(tPresences),INDEX(tPresences[Statut_Resolution],ROW()-1),"")</f>
        <v/>
      </c>
    </row>
    <row r="8">
      <c r="A8">
        <f>IF(ROW()-1&lt;=ROWS(tPresences),INDEX(tPresences[Patient],ROW()-1),"")</f>
        <v/>
      </c>
      <c r="B8">
        <f>IF(ROW()-1&lt;=ROWS(tPresences),INDEX(tPresences[Cle_Patient_Norm],ROW()-1),"")</f>
        <v/>
      </c>
      <c r="C8" s="5">
        <f>IF(ROW()-1&lt;=ROWS(tPresences),INDEX(tPresences[Date],ROW()-1),"")</f>
        <v/>
      </c>
      <c r="D8">
        <f>IF(ROW()-1&lt;=ROWS(tPresences),INDEX(tPresences[Programmation],ROW()-1),"")</f>
        <v/>
      </c>
      <c r="E8">
        <f>IF(ROW()-1&lt;=ROWS(tPresences),INDEX(tPresences[Est_Present],ROW()-1),"")</f>
        <v/>
      </c>
      <c r="F8">
        <f>IF(ROW()-1&lt;=ROWS(tPresences),INDEX(tPresences[Parcours],ROW()-1),"")</f>
        <v/>
      </c>
      <c r="G8" s="4">
        <f>IF(ROW()-1&lt;=ROWS(tPresences),INDEX(tPresences[N_DA],ROW()-1),"")</f>
        <v/>
      </c>
      <c r="H8">
        <f>IF(ROW()-1&lt;=ROWS(tPresences),INDEX(tPresences[Cotation],ROW()-1),"")</f>
        <v/>
      </c>
      <c r="I8">
        <f>IF(ROW()-1&lt;=ROWS(tPresences),INDEX(tPresences[Regime],ROW()-1),"")</f>
        <v/>
      </c>
      <c r="J8">
        <f>IF(ROW()-1&lt;=ROWS(tPresences),INDEX(tPresences[Nb_Je_accordes],ROW()-1),"")</f>
        <v/>
      </c>
      <c r="K8">
        <f>IF(ROW()-1&lt;=ROWS(tPresences),INDEX(tPresences[Semaine],ROW()-1),"")</f>
        <v/>
      </c>
      <c r="L8">
        <f>IF(ROW()-1&lt;=ROWS(tPresences),INDEX(tPresences[Mois],ROW()-1),"")</f>
        <v/>
      </c>
      <c r="M8">
        <f>IF(ROW()-1&lt;=ROWS(tPresences),INDEX(tPresences[Groupe],ROW()-1),"")</f>
        <v/>
      </c>
      <c r="N8">
        <f>IF(ROW()-1&lt;=ROWS(tPresences),INDEX(tPresences[PEC],ROW()-1),"")</f>
        <v/>
      </c>
      <c r="O8">
        <f>IF(ROW()-1&lt;=ROWS(tPresences),INDEX(tPresences[Statut_Resolution],ROW()-1),"")</f>
        <v/>
      </c>
    </row>
    <row r="9">
      <c r="A9">
        <f>IF(ROW()-1&lt;=ROWS(tPresences),INDEX(tPresences[Patient],ROW()-1),"")</f>
        <v/>
      </c>
      <c r="B9">
        <f>IF(ROW()-1&lt;=ROWS(tPresences),INDEX(tPresences[Cle_Patient_Norm],ROW()-1),"")</f>
        <v/>
      </c>
      <c r="C9" s="5">
        <f>IF(ROW()-1&lt;=ROWS(tPresences),INDEX(tPresences[Date],ROW()-1),"")</f>
        <v/>
      </c>
      <c r="D9">
        <f>IF(ROW()-1&lt;=ROWS(tPresences),INDEX(tPresences[Programmation],ROW()-1),"")</f>
        <v/>
      </c>
      <c r="E9">
        <f>IF(ROW()-1&lt;=ROWS(tPresences),INDEX(tPresences[Est_Present],ROW()-1),"")</f>
        <v/>
      </c>
      <c r="F9">
        <f>IF(ROW()-1&lt;=ROWS(tPresences),INDEX(tPresences[Parcours],ROW()-1),"")</f>
        <v/>
      </c>
      <c r="G9" s="4">
        <f>IF(ROW()-1&lt;=ROWS(tPresences),INDEX(tPresences[N_DA],ROW()-1),"")</f>
        <v/>
      </c>
      <c r="H9">
        <f>IF(ROW()-1&lt;=ROWS(tPresences),INDEX(tPresences[Cotation],ROW()-1),"")</f>
        <v/>
      </c>
      <c r="I9">
        <f>IF(ROW()-1&lt;=ROWS(tPresences),INDEX(tPresences[Regime],ROW()-1),"")</f>
        <v/>
      </c>
      <c r="J9">
        <f>IF(ROW()-1&lt;=ROWS(tPresences),INDEX(tPresences[Nb_Je_accordes],ROW()-1),"")</f>
        <v/>
      </c>
      <c r="K9">
        <f>IF(ROW()-1&lt;=ROWS(tPresences),INDEX(tPresences[Semaine],ROW()-1),"")</f>
        <v/>
      </c>
      <c r="L9">
        <f>IF(ROW()-1&lt;=ROWS(tPresences),INDEX(tPresences[Mois],ROW()-1),"")</f>
        <v/>
      </c>
      <c r="M9">
        <f>IF(ROW()-1&lt;=ROWS(tPresences),INDEX(tPresences[Groupe],ROW()-1),"")</f>
        <v/>
      </c>
      <c r="N9">
        <f>IF(ROW()-1&lt;=ROWS(tPresences),INDEX(tPresences[PEC],ROW()-1),"")</f>
        <v/>
      </c>
      <c r="O9">
        <f>IF(ROW()-1&lt;=ROWS(tPresences),INDEX(tPresences[Statut_Resolution],ROW()-1),"")</f>
        <v/>
      </c>
    </row>
    <row r="10">
      <c r="A10">
        <f>IF(ROW()-1&lt;=ROWS(tPresences),INDEX(tPresences[Patient],ROW()-1),"")</f>
        <v/>
      </c>
      <c r="B10">
        <f>IF(ROW()-1&lt;=ROWS(tPresences),INDEX(tPresences[Cle_Patient_Norm],ROW()-1),"")</f>
        <v/>
      </c>
      <c r="C10" s="5">
        <f>IF(ROW()-1&lt;=ROWS(tPresences),INDEX(tPresences[Date],ROW()-1),"")</f>
        <v/>
      </c>
      <c r="D10">
        <f>IF(ROW()-1&lt;=ROWS(tPresences),INDEX(tPresences[Programmation],ROW()-1),"")</f>
        <v/>
      </c>
      <c r="E10">
        <f>IF(ROW()-1&lt;=ROWS(tPresences),INDEX(tPresences[Est_Present],ROW()-1),"")</f>
        <v/>
      </c>
      <c r="F10">
        <f>IF(ROW()-1&lt;=ROWS(tPresences),INDEX(tPresences[Parcours],ROW()-1),"")</f>
        <v/>
      </c>
      <c r="G10" s="4">
        <f>IF(ROW()-1&lt;=ROWS(tPresences),INDEX(tPresences[N_DA],ROW()-1),"")</f>
        <v/>
      </c>
      <c r="H10">
        <f>IF(ROW()-1&lt;=ROWS(tPresences),INDEX(tPresences[Cotation],ROW()-1),"")</f>
        <v/>
      </c>
      <c r="I10">
        <f>IF(ROW()-1&lt;=ROWS(tPresences),INDEX(tPresences[Regime],ROW()-1),"")</f>
        <v/>
      </c>
      <c r="J10">
        <f>IF(ROW()-1&lt;=ROWS(tPresences),INDEX(tPresences[Nb_Je_accordes],ROW()-1),"")</f>
        <v/>
      </c>
      <c r="K10">
        <f>IF(ROW()-1&lt;=ROWS(tPresences),INDEX(tPresences[Semaine],ROW()-1),"")</f>
        <v/>
      </c>
      <c r="L10">
        <f>IF(ROW()-1&lt;=ROWS(tPresences),INDEX(tPresences[Mois],ROW()-1),"")</f>
        <v/>
      </c>
      <c r="M10">
        <f>IF(ROW()-1&lt;=ROWS(tPresences),INDEX(tPresences[Groupe],ROW()-1),"")</f>
        <v/>
      </c>
      <c r="N10">
        <f>IF(ROW()-1&lt;=ROWS(tPresences),INDEX(tPresences[PEC],ROW()-1),"")</f>
        <v/>
      </c>
      <c r="O10">
        <f>IF(ROW()-1&lt;=ROWS(tPresences),INDEX(tPresences[Statut_Resolution],ROW()-1),"")</f>
        <v/>
      </c>
    </row>
    <row r="11">
      <c r="A11">
        <f>IF(ROW()-1&lt;=ROWS(tPresences),INDEX(tPresences[Patient],ROW()-1),"")</f>
        <v/>
      </c>
      <c r="B11">
        <f>IF(ROW()-1&lt;=ROWS(tPresences),INDEX(tPresences[Cle_Patient_Norm],ROW()-1),"")</f>
        <v/>
      </c>
      <c r="C11" s="5">
        <f>IF(ROW()-1&lt;=ROWS(tPresences),INDEX(tPresences[Date],ROW()-1),"")</f>
        <v/>
      </c>
      <c r="D11">
        <f>IF(ROW()-1&lt;=ROWS(tPresences),INDEX(tPresences[Programmation],ROW()-1),"")</f>
        <v/>
      </c>
      <c r="E11">
        <f>IF(ROW()-1&lt;=ROWS(tPresences),INDEX(tPresences[Est_Present],ROW()-1),"")</f>
        <v/>
      </c>
      <c r="F11">
        <f>IF(ROW()-1&lt;=ROWS(tPresences),INDEX(tPresences[Parcours],ROW()-1),"")</f>
        <v/>
      </c>
      <c r="G11" s="4">
        <f>IF(ROW()-1&lt;=ROWS(tPresences),INDEX(tPresences[N_DA],ROW()-1),"")</f>
        <v/>
      </c>
      <c r="H11">
        <f>IF(ROW()-1&lt;=ROWS(tPresences),INDEX(tPresences[Cotation],ROW()-1),"")</f>
        <v/>
      </c>
      <c r="I11">
        <f>IF(ROW()-1&lt;=ROWS(tPresences),INDEX(tPresences[Regime],ROW()-1),"")</f>
        <v/>
      </c>
      <c r="J11">
        <f>IF(ROW()-1&lt;=ROWS(tPresences),INDEX(tPresences[Nb_Je_accordes],ROW()-1),"")</f>
        <v/>
      </c>
      <c r="K11">
        <f>IF(ROW()-1&lt;=ROWS(tPresences),INDEX(tPresences[Semaine],ROW()-1),"")</f>
        <v/>
      </c>
      <c r="L11">
        <f>IF(ROW()-1&lt;=ROWS(tPresences),INDEX(tPresences[Mois],ROW()-1),"")</f>
        <v/>
      </c>
      <c r="M11">
        <f>IF(ROW()-1&lt;=ROWS(tPresences),INDEX(tPresences[Groupe],ROW()-1),"")</f>
        <v/>
      </c>
      <c r="N11">
        <f>IF(ROW()-1&lt;=ROWS(tPresences),INDEX(tPresences[PEC],ROW()-1),"")</f>
        <v/>
      </c>
      <c r="O11">
        <f>IF(ROW()-1&lt;=ROWS(tPresences),INDEX(tPresences[Statut_Resolution],ROW()-1),"")</f>
        <v/>
      </c>
    </row>
    <row r="12">
      <c r="A12">
        <f>IF(ROW()-1&lt;=ROWS(tPresences),INDEX(tPresences[Patient],ROW()-1),"")</f>
        <v/>
      </c>
      <c r="B12">
        <f>IF(ROW()-1&lt;=ROWS(tPresences),INDEX(tPresences[Cle_Patient_Norm],ROW()-1),"")</f>
        <v/>
      </c>
      <c r="C12" s="5">
        <f>IF(ROW()-1&lt;=ROWS(tPresences),INDEX(tPresences[Date],ROW()-1),"")</f>
        <v/>
      </c>
      <c r="D12">
        <f>IF(ROW()-1&lt;=ROWS(tPresences),INDEX(tPresences[Programmation],ROW()-1),"")</f>
        <v/>
      </c>
      <c r="E12">
        <f>IF(ROW()-1&lt;=ROWS(tPresences),INDEX(tPresences[Est_Present],ROW()-1),"")</f>
        <v/>
      </c>
      <c r="F12">
        <f>IF(ROW()-1&lt;=ROWS(tPresences),INDEX(tPresences[Parcours],ROW()-1),"")</f>
        <v/>
      </c>
      <c r="G12" s="4">
        <f>IF(ROW()-1&lt;=ROWS(tPresences),INDEX(tPresences[N_DA],ROW()-1),"")</f>
        <v/>
      </c>
      <c r="H12">
        <f>IF(ROW()-1&lt;=ROWS(tPresences),INDEX(tPresences[Cotation],ROW()-1),"")</f>
        <v/>
      </c>
      <c r="I12">
        <f>IF(ROW()-1&lt;=ROWS(tPresences),INDEX(tPresences[Regime],ROW()-1),"")</f>
        <v/>
      </c>
      <c r="J12">
        <f>IF(ROW()-1&lt;=ROWS(tPresences),INDEX(tPresences[Nb_Je_accordes],ROW()-1),"")</f>
        <v/>
      </c>
      <c r="K12">
        <f>IF(ROW()-1&lt;=ROWS(tPresences),INDEX(tPresences[Semaine],ROW()-1),"")</f>
        <v/>
      </c>
      <c r="L12">
        <f>IF(ROW()-1&lt;=ROWS(tPresences),INDEX(tPresences[Mois],ROW()-1),"")</f>
        <v/>
      </c>
      <c r="M12">
        <f>IF(ROW()-1&lt;=ROWS(tPresences),INDEX(tPresences[Groupe],ROW()-1),"")</f>
        <v/>
      </c>
      <c r="N12">
        <f>IF(ROW()-1&lt;=ROWS(tPresences),INDEX(tPresences[PEC],ROW()-1),"")</f>
        <v/>
      </c>
      <c r="O12">
        <f>IF(ROW()-1&lt;=ROWS(tPresences),INDEX(tPresences[Statut_Resolution],ROW()-1),"")</f>
        <v/>
      </c>
    </row>
    <row r="13">
      <c r="A13">
        <f>IF(ROW()-1&lt;=ROWS(tPresences),INDEX(tPresences[Patient],ROW()-1),"")</f>
        <v/>
      </c>
      <c r="B13">
        <f>IF(ROW()-1&lt;=ROWS(tPresences),INDEX(tPresences[Cle_Patient_Norm],ROW()-1),"")</f>
        <v/>
      </c>
      <c r="C13" s="5">
        <f>IF(ROW()-1&lt;=ROWS(tPresences),INDEX(tPresences[Date],ROW()-1),"")</f>
        <v/>
      </c>
      <c r="D13">
        <f>IF(ROW()-1&lt;=ROWS(tPresences),INDEX(tPresences[Programmation],ROW()-1),"")</f>
        <v/>
      </c>
      <c r="E13">
        <f>IF(ROW()-1&lt;=ROWS(tPresences),INDEX(tPresences[Est_Present],ROW()-1),"")</f>
        <v/>
      </c>
      <c r="F13">
        <f>IF(ROW()-1&lt;=ROWS(tPresences),INDEX(tPresences[Parcours],ROW()-1),"")</f>
        <v/>
      </c>
      <c r="G13" s="4">
        <f>IF(ROW()-1&lt;=ROWS(tPresences),INDEX(tPresences[N_DA],ROW()-1),"")</f>
        <v/>
      </c>
      <c r="H13">
        <f>IF(ROW()-1&lt;=ROWS(tPresences),INDEX(tPresences[Cotation],ROW()-1),"")</f>
        <v/>
      </c>
      <c r="I13">
        <f>IF(ROW()-1&lt;=ROWS(tPresences),INDEX(tPresences[Regime],ROW()-1),"")</f>
        <v/>
      </c>
      <c r="J13">
        <f>IF(ROW()-1&lt;=ROWS(tPresences),INDEX(tPresences[Nb_Je_accordes],ROW()-1),"")</f>
        <v/>
      </c>
      <c r="K13">
        <f>IF(ROW()-1&lt;=ROWS(tPresences),INDEX(tPresences[Semaine],ROW()-1),"")</f>
        <v/>
      </c>
      <c r="L13">
        <f>IF(ROW()-1&lt;=ROWS(tPresences),INDEX(tPresences[Mois],ROW()-1),"")</f>
        <v/>
      </c>
      <c r="M13">
        <f>IF(ROW()-1&lt;=ROWS(tPresences),INDEX(tPresences[Groupe],ROW()-1),"")</f>
        <v/>
      </c>
      <c r="N13">
        <f>IF(ROW()-1&lt;=ROWS(tPresences),INDEX(tPresences[PEC],ROW()-1),"")</f>
        <v/>
      </c>
      <c r="O13">
        <f>IF(ROW()-1&lt;=ROWS(tPresences),INDEX(tPresences[Statut_Resolution],ROW()-1),"")</f>
        <v/>
      </c>
    </row>
    <row r="14">
      <c r="A14">
        <f>IF(ROW()-1&lt;=ROWS(tPresences),INDEX(tPresences[Patient],ROW()-1),"")</f>
        <v/>
      </c>
      <c r="B14">
        <f>IF(ROW()-1&lt;=ROWS(tPresences),INDEX(tPresences[Cle_Patient_Norm],ROW()-1),"")</f>
        <v/>
      </c>
      <c r="C14" s="5">
        <f>IF(ROW()-1&lt;=ROWS(tPresences),INDEX(tPresences[Date],ROW()-1),"")</f>
        <v/>
      </c>
      <c r="D14">
        <f>IF(ROW()-1&lt;=ROWS(tPresences),INDEX(tPresences[Programmation],ROW()-1),"")</f>
        <v/>
      </c>
      <c r="E14">
        <f>IF(ROW()-1&lt;=ROWS(tPresences),INDEX(tPresences[Est_Present],ROW()-1),"")</f>
        <v/>
      </c>
      <c r="F14">
        <f>IF(ROW()-1&lt;=ROWS(tPresences),INDEX(tPresences[Parcours],ROW()-1),"")</f>
        <v/>
      </c>
      <c r="G14" s="4">
        <f>IF(ROW()-1&lt;=ROWS(tPresences),INDEX(tPresences[N_DA],ROW()-1),"")</f>
        <v/>
      </c>
      <c r="H14">
        <f>IF(ROW()-1&lt;=ROWS(tPresences),INDEX(tPresences[Cotation],ROW()-1),"")</f>
        <v/>
      </c>
      <c r="I14">
        <f>IF(ROW()-1&lt;=ROWS(tPresences),INDEX(tPresences[Regime],ROW()-1),"")</f>
        <v/>
      </c>
      <c r="J14">
        <f>IF(ROW()-1&lt;=ROWS(tPresences),INDEX(tPresences[Nb_Je_accordes],ROW()-1),"")</f>
        <v/>
      </c>
      <c r="K14">
        <f>IF(ROW()-1&lt;=ROWS(tPresences),INDEX(tPresences[Semaine],ROW()-1),"")</f>
        <v/>
      </c>
      <c r="L14">
        <f>IF(ROW()-1&lt;=ROWS(tPresences),INDEX(tPresences[Mois],ROW()-1),"")</f>
        <v/>
      </c>
      <c r="M14">
        <f>IF(ROW()-1&lt;=ROWS(tPresences),INDEX(tPresences[Groupe],ROW()-1),"")</f>
        <v/>
      </c>
      <c r="N14">
        <f>IF(ROW()-1&lt;=ROWS(tPresences),INDEX(tPresences[PEC],ROW()-1),"")</f>
        <v/>
      </c>
      <c r="O14">
        <f>IF(ROW()-1&lt;=ROWS(tPresences),INDEX(tPresences[Statut_Resolution],ROW()-1),"")</f>
        <v/>
      </c>
    </row>
    <row r="15">
      <c r="A15">
        <f>IF(ROW()-1&lt;=ROWS(tPresences),INDEX(tPresences[Patient],ROW()-1),"")</f>
        <v/>
      </c>
      <c r="B15">
        <f>IF(ROW()-1&lt;=ROWS(tPresences),INDEX(tPresences[Cle_Patient_Norm],ROW()-1),"")</f>
        <v/>
      </c>
      <c r="C15" s="5">
        <f>IF(ROW()-1&lt;=ROWS(tPresences),INDEX(tPresences[Date],ROW()-1),"")</f>
        <v/>
      </c>
      <c r="D15">
        <f>IF(ROW()-1&lt;=ROWS(tPresences),INDEX(tPresences[Programmation],ROW()-1),"")</f>
        <v/>
      </c>
      <c r="E15">
        <f>IF(ROW()-1&lt;=ROWS(tPresences),INDEX(tPresences[Est_Present],ROW()-1),"")</f>
        <v/>
      </c>
      <c r="F15">
        <f>IF(ROW()-1&lt;=ROWS(tPresences),INDEX(tPresences[Parcours],ROW()-1),"")</f>
        <v/>
      </c>
      <c r="G15" s="4">
        <f>IF(ROW()-1&lt;=ROWS(tPresences),INDEX(tPresences[N_DA],ROW()-1),"")</f>
        <v/>
      </c>
      <c r="H15">
        <f>IF(ROW()-1&lt;=ROWS(tPresences),INDEX(tPresences[Cotation],ROW()-1),"")</f>
        <v/>
      </c>
      <c r="I15">
        <f>IF(ROW()-1&lt;=ROWS(tPresences),INDEX(tPresences[Regime],ROW()-1),"")</f>
        <v/>
      </c>
      <c r="J15">
        <f>IF(ROW()-1&lt;=ROWS(tPresences),INDEX(tPresences[Nb_Je_accordes],ROW()-1),"")</f>
        <v/>
      </c>
      <c r="K15">
        <f>IF(ROW()-1&lt;=ROWS(tPresences),INDEX(tPresences[Semaine],ROW()-1),"")</f>
        <v/>
      </c>
      <c r="L15">
        <f>IF(ROW()-1&lt;=ROWS(tPresences),INDEX(tPresences[Mois],ROW()-1),"")</f>
        <v/>
      </c>
      <c r="M15">
        <f>IF(ROW()-1&lt;=ROWS(tPresences),INDEX(tPresences[Groupe],ROW()-1),"")</f>
        <v/>
      </c>
      <c r="N15">
        <f>IF(ROW()-1&lt;=ROWS(tPresences),INDEX(tPresences[PEC],ROW()-1),"")</f>
        <v/>
      </c>
      <c r="O15">
        <f>IF(ROW()-1&lt;=ROWS(tPresences),INDEX(tPresences[Statut_Resolution],ROW()-1),"")</f>
        <v/>
      </c>
    </row>
    <row r="16">
      <c r="A16">
        <f>IF(ROW()-1&lt;=ROWS(tPresences),INDEX(tPresences[Patient],ROW()-1),"")</f>
        <v/>
      </c>
      <c r="B16">
        <f>IF(ROW()-1&lt;=ROWS(tPresences),INDEX(tPresences[Cle_Patient_Norm],ROW()-1),"")</f>
        <v/>
      </c>
      <c r="C16" s="5">
        <f>IF(ROW()-1&lt;=ROWS(tPresences),INDEX(tPresences[Date],ROW()-1),"")</f>
        <v/>
      </c>
      <c r="D16">
        <f>IF(ROW()-1&lt;=ROWS(tPresences),INDEX(tPresences[Programmation],ROW()-1),"")</f>
        <v/>
      </c>
      <c r="E16">
        <f>IF(ROW()-1&lt;=ROWS(tPresences),INDEX(tPresences[Est_Present],ROW()-1),"")</f>
        <v/>
      </c>
      <c r="F16">
        <f>IF(ROW()-1&lt;=ROWS(tPresences),INDEX(tPresences[Parcours],ROW()-1),"")</f>
        <v/>
      </c>
      <c r="G16" s="4">
        <f>IF(ROW()-1&lt;=ROWS(tPresences),INDEX(tPresences[N_DA],ROW()-1),"")</f>
        <v/>
      </c>
      <c r="H16">
        <f>IF(ROW()-1&lt;=ROWS(tPresences),INDEX(tPresences[Cotation],ROW()-1),"")</f>
        <v/>
      </c>
      <c r="I16">
        <f>IF(ROW()-1&lt;=ROWS(tPresences),INDEX(tPresences[Regime],ROW()-1),"")</f>
        <v/>
      </c>
      <c r="J16">
        <f>IF(ROW()-1&lt;=ROWS(tPresences),INDEX(tPresences[Nb_Je_accordes],ROW()-1),"")</f>
        <v/>
      </c>
      <c r="K16">
        <f>IF(ROW()-1&lt;=ROWS(tPresences),INDEX(tPresences[Semaine],ROW()-1),"")</f>
        <v/>
      </c>
      <c r="L16">
        <f>IF(ROW()-1&lt;=ROWS(tPresences),INDEX(tPresences[Mois],ROW()-1),"")</f>
        <v/>
      </c>
      <c r="M16">
        <f>IF(ROW()-1&lt;=ROWS(tPresences),INDEX(tPresences[Groupe],ROW()-1),"")</f>
        <v/>
      </c>
      <c r="N16">
        <f>IF(ROW()-1&lt;=ROWS(tPresences),INDEX(tPresences[PEC],ROW()-1),"")</f>
        <v/>
      </c>
      <c r="O16">
        <f>IF(ROW()-1&lt;=ROWS(tPresences),INDEX(tPresences[Statut_Resolution],ROW()-1),"")</f>
        <v/>
      </c>
    </row>
    <row r="17">
      <c r="A17" s="6" t="inlineStr">
        <is>
          <t>CONSO_Presences = image directe de Saisie_Presences (INDEX par référence structurée). Unification ETP+Polyvalent par la colonne Parcours.</t>
        </is>
      </c>
      <c r="B17">
        <f>IF(ROW()-1&lt;=ROWS(tPresences),INDEX(tPresences[Cle_Patient_Norm],ROW()-1),"")</f>
        <v/>
      </c>
      <c r="C17" s="5">
        <f>IF(ROW()-1&lt;=ROWS(tPresences),INDEX(tPresences[Date],ROW()-1),"")</f>
        <v/>
      </c>
      <c r="D17">
        <f>IF(ROW()-1&lt;=ROWS(tPresences),INDEX(tPresences[Programmation],ROW()-1),"")</f>
        <v/>
      </c>
      <c r="E17">
        <f>IF(ROW()-1&lt;=ROWS(tPresences),INDEX(tPresences[Est_Present],ROW()-1),"")</f>
        <v/>
      </c>
      <c r="F17">
        <f>IF(ROW()-1&lt;=ROWS(tPresences),INDEX(tPresences[Parcours],ROW()-1),"")</f>
        <v/>
      </c>
      <c r="G17" s="4">
        <f>IF(ROW()-1&lt;=ROWS(tPresences),INDEX(tPresences[N_DA],ROW()-1),"")</f>
        <v/>
      </c>
      <c r="H17">
        <f>IF(ROW()-1&lt;=ROWS(tPresences),INDEX(tPresences[Cotation],ROW()-1),"")</f>
        <v/>
      </c>
      <c r="I17">
        <f>IF(ROW()-1&lt;=ROWS(tPresences),INDEX(tPresences[Regime],ROW()-1),"")</f>
        <v/>
      </c>
      <c r="J17">
        <f>IF(ROW()-1&lt;=ROWS(tPresences),INDEX(tPresences[Nb_Je_accordes],ROW()-1),"")</f>
        <v/>
      </c>
      <c r="K17">
        <f>IF(ROW()-1&lt;=ROWS(tPresences),INDEX(tPresences[Semaine],ROW()-1),"")</f>
        <v/>
      </c>
      <c r="L17">
        <f>IF(ROW()-1&lt;=ROWS(tPresences),INDEX(tPresences[Mois],ROW()-1),"")</f>
        <v/>
      </c>
      <c r="M17">
        <f>IF(ROW()-1&lt;=ROWS(tPresences),INDEX(tPresences[Groupe],ROW()-1),"")</f>
        <v/>
      </c>
      <c r="N17">
        <f>IF(ROW()-1&lt;=ROWS(tPresences),INDEX(tPresences[PEC],ROW()-1),"")</f>
        <v/>
      </c>
      <c r="O17">
        <f>IF(ROW()-1&lt;=ROWS(tPresences),INDEX(tPresences[Statut_Resolution],ROW()-1),"")</f>
        <v/>
      </c>
    </row>
    <row r="18">
      <c r="A18">
        <f>IF(ROW()-1&lt;=ROWS(tPresences),INDEX(tPresences[Patient],ROW()-1),"")</f>
        <v/>
      </c>
      <c r="B18">
        <f>IF(ROW()-1&lt;=ROWS(tPresences),INDEX(tPresences[Cle_Patient_Norm],ROW()-1),"")</f>
        <v/>
      </c>
      <c r="C18" s="5">
        <f>IF(ROW()-1&lt;=ROWS(tPresences),INDEX(tPresences[Date],ROW()-1),"")</f>
        <v/>
      </c>
      <c r="D18">
        <f>IF(ROW()-1&lt;=ROWS(tPresences),INDEX(tPresences[Programmation],ROW()-1),"")</f>
        <v/>
      </c>
      <c r="E18">
        <f>IF(ROW()-1&lt;=ROWS(tPresences),INDEX(tPresences[Est_Present],ROW()-1),"")</f>
        <v/>
      </c>
      <c r="F18">
        <f>IF(ROW()-1&lt;=ROWS(tPresences),INDEX(tPresences[Parcours],ROW()-1),"")</f>
        <v/>
      </c>
      <c r="G18" s="4">
        <f>IF(ROW()-1&lt;=ROWS(tPresences),INDEX(tPresences[N_DA],ROW()-1),"")</f>
        <v/>
      </c>
      <c r="H18">
        <f>IF(ROW()-1&lt;=ROWS(tPresences),INDEX(tPresences[Cotation],ROW()-1),"")</f>
        <v/>
      </c>
      <c r="I18">
        <f>IF(ROW()-1&lt;=ROWS(tPresences),INDEX(tPresences[Regime],ROW()-1),"")</f>
        <v/>
      </c>
      <c r="J18">
        <f>IF(ROW()-1&lt;=ROWS(tPresences),INDEX(tPresences[Nb_Je_accordes],ROW()-1),"")</f>
        <v/>
      </c>
      <c r="K18">
        <f>IF(ROW()-1&lt;=ROWS(tPresences),INDEX(tPresences[Semaine],ROW()-1),"")</f>
        <v/>
      </c>
      <c r="L18">
        <f>IF(ROW()-1&lt;=ROWS(tPresences),INDEX(tPresences[Mois],ROW()-1),"")</f>
        <v/>
      </c>
      <c r="M18">
        <f>IF(ROW()-1&lt;=ROWS(tPresences),INDEX(tPresences[Groupe],ROW()-1),"")</f>
        <v/>
      </c>
      <c r="N18">
        <f>IF(ROW()-1&lt;=ROWS(tPresences),INDEX(tPresences[PEC],ROW()-1),"")</f>
        <v/>
      </c>
      <c r="O18">
        <f>IF(ROW()-1&lt;=ROWS(tPresences),INDEX(tPresences[Statut_Resolution],ROW()-1),"")</f>
        <v/>
      </c>
    </row>
    <row r="19">
      <c r="A19">
        <f>IF(ROW()-1&lt;=ROWS(tPresences),INDEX(tPresences[Patient],ROW()-1),"")</f>
        <v/>
      </c>
      <c r="B19">
        <f>IF(ROW()-1&lt;=ROWS(tPresences),INDEX(tPresences[Cle_Patient_Norm],ROW()-1),"")</f>
        <v/>
      </c>
      <c r="C19" s="5">
        <f>IF(ROW()-1&lt;=ROWS(tPresences),INDEX(tPresences[Date],ROW()-1),"")</f>
        <v/>
      </c>
      <c r="D19">
        <f>IF(ROW()-1&lt;=ROWS(tPresences),INDEX(tPresences[Programmation],ROW()-1),"")</f>
        <v/>
      </c>
      <c r="E19">
        <f>IF(ROW()-1&lt;=ROWS(tPresences),INDEX(tPresences[Est_Present],ROW()-1),"")</f>
        <v/>
      </c>
      <c r="F19">
        <f>IF(ROW()-1&lt;=ROWS(tPresences),INDEX(tPresences[Parcours],ROW()-1),"")</f>
        <v/>
      </c>
      <c r="G19" s="4">
        <f>IF(ROW()-1&lt;=ROWS(tPresences),INDEX(tPresences[N_DA],ROW()-1),"")</f>
        <v/>
      </c>
      <c r="H19">
        <f>IF(ROW()-1&lt;=ROWS(tPresences),INDEX(tPresences[Cotation],ROW()-1),"")</f>
        <v/>
      </c>
      <c r="I19">
        <f>IF(ROW()-1&lt;=ROWS(tPresences),INDEX(tPresences[Regime],ROW()-1),"")</f>
        <v/>
      </c>
      <c r="J19">
        <f>IF(ROW()-1&lt;=ROWS(tPresences),INDEX(tPresences[Nb_Je_accordes],ROW()-1),"")</f>
        <v/>
      </c>
      <c r="K19">
        <f>IF(ROW()-1&lt;=ROWS(tPresences),INDEX(tPresences[Semaine],ROW()-1),"")</f>
        <v/>
      </c>
      <c r="L19">
        <f>IF(ROW()-1&lt;=ROWS(tPresences),INDEX(tPresences[Mois],ROW()-1),"")</f>
        <v/>
      </c>
      <c r="M19">
        <f>IF(ROW()-1&lt;=ROWS(tPresences),INDEX(tPresences[Groupe],ROW()-1),"")</f>
        <v/>
      </c>
      <c r="N19">
        <f>IF(ROW()-1&lt;=ROWS(tPresences),INDEX(tPresences[PEC],ROW()-1),"")</f>
        <v/>
      </c>
      <c r="O19">
        <f>IF(ROW()-1&lt;=ROWS(tPresences),INDEX(tPresences[Statut_Resolution],ROW()-1),"")</f>
        <v/>
      </c>
    </row>
    <row r="20">
      <c r="A20">
        <f>IF(ROW()-1&lt;=ROWS(tPresences),INDEX(tPresences[Patient],ROW()-1),"")</f>
        <v/>
      </c>
      <c r="B20">
        <f>IF(ROW()-1&lt;=ROWS(tPresences),INDEX(tPresences[Cle_Patient_Norm],ROW()-1),"")</f>
        <v/>
      </c>
      <c r="C20" s="5">
        <f>IF(ROW()-1&lt;=ROWS(tPresences),INDEX(tPresences[Date],ROW()-1),"")</f>
        <v/>
      </c>
      <c r="D20">
        <f>IF(ROW()-1&lt;=ROWS(tPresences),INDEX(tPresences[Programmation],ROW()-1),"")</f>
        <v/>
      </c>
      <c r="E20">
        <f>IF(ROW()-1&lt;=ROWS(tPresences),INDEX(tPresences[Est_Present],ROW()-1),"")</f>
        <v/>
      </c>
      <c r="F20">
        <f>IF(ROW()-1&lt;=ROWS(tPresences),INDEX(tPresences[Parcours],ROW()-1),"")</f>
        <v/>
      </c>
      <c r="G20" s="4">
        <f>IF(ROW()-1&lt;=ROWS(tPresences),INDEX(tPresences[N_DA],ROW()-1),"")</f>
        <v/>
      </c>
      <c r="H20">
        <f>IF(ROW()-1&lt;=ROWS(tPresences),INDEX(tPresences[Cotation],ROW()-1),"")</f>
        <v/>
      </c>
      <c r="I20">
        <f>IF(ROW()-1&lt;=ROWS(tPresences),INDEX(tPresences[Regime],ROW()-1),"")</f>
        <v/>
      </c>
      <c r="J20">
        <f>IF(ROW()-1&lt;=ROWS(tPresences),INDEX(tPresences[Nb_Je_accordes],ROW()-1),"")</f>
        <v/>
      </c>
      <c r="K20">
        <f>IF(ROW()-1&lt;=ROWS(tPresences),INDEX(tPresences[Semaine],ROW()-1),"")</f>
        <v/>
      </c>
      <c r="L20">
        <f>IF(ROW()-1&lt;=ROWS(tPresences),INDEX(tPresences[Mois],ROW()-1),"")</f>
        <v/>
      </c>
      <c r="M20">
        <f>IF(ROW()-1&lt;=ROWS(tPresences),INDEX(tPresences[Groupe],ROW()-1),"")</f>
        <v/>
      </c>
      <c r="N20">
        <f>IF(ROW()-1&lt;=ROWS(tPresences),INDEX(tPresences[PEC],ROW()-1),"")</f>
        <v/>
      </c>
      <c r="O20">
        <f>IF(ROW()-1&lt;=ROWS(tPresences),INDEX(tPresences[Statut_Resolution],ROW()-1),"")</f>
        <v/>
      </c>
    </row>
    <row r="21">
      <c r="A21">
        <f>IF(ROW()-1&lt;=ROWS(tPresences),INDEX(tPresences[Patient],ROW()-1),"")</f>
        <v/>
      </c>
      <c r="B21">
        <f>IF(ROW()-1&lt;=ROWS(tPresences),INDEX(tPresences[Cle_Patient_Norm],ROW()-1),"")</f>
        <v/>
      </c>
      <c r="C21" s="5">
        <f>IF(ROW()-1&lt;=ROWS(tPresences),INDEX(tPresences[Date],ROW()-1),"")</f>
        <v/>
      </c>
      <c r="D21">
        <f>IF(ROW()-1&lt;=ROWS(tPresences),INDEX(tPresences[Programmation],ROW()-1),"")</f>
        <v/>
      </c>
      <c r="E21">
        <f>IF(ROW()-1&lt;=ROWS(tPresences),INDEX(tPresences[Est_Present],ROW()-1),"")</f>
        <v/>
      </c>
      <c r="F21">
        <f>IF(ROW()-1&lt;=ROWS(tPresences),INDEX(tPresences[Parcours],ROW()-1),"")</f>
        <v/>
      </c>
      <c r="G21" s="4">
        <f>IF(ROW()-1&lt;=ROWS(tPresences),INDEX(tPresences[N_DA],ROW()-1),"")</f>
        <v/>
      </c>
      <c r="H21">
        <f>IF(ROW()-1&lt;=ROWS(tPresences),INDEX(tPresences[Cotation],ROW()-1),"")</f>
        <v/>
      </c>
      <c r="I21">
        <f>IF(ROW()-1&lt;=ROWS(tPresences),INDEX(tPresences[Regime],ROW()-1),"")</f>
        <v/>
      </c>
      <c r="J21">
        <f>IF(ROW()-1&lt;=ROWS(tPresences),INDEX(tPresences[Nb_Je_accordes],ROW()-1),"")</f>
        <v/>
      </c>
      <c r="K21">
        <f>IF(ROW()-1&lt;=ROWS(tPresences),INDEX(tPresences[Semaine],ROW()-1),"")</f>
        <v/>
      </c>
      <c r="L21">
        <f>IF(ROW()-1&lt;=ROWS(tPresences),INDEX(tPresences[Mois],ROW()-1),"")</f>
        <v/>
      </c>
      <c r="M21">
        <f>IF(ROW()-1&lt;=ROWS(tPresences),INDEX(tPresences[Groupe],ROW()-1),"")</f>
        <v/>
      </c>
      <c r="N21">
        <f>IF(ROW()-1&lt;=ROWS(tPresences),INDEX(tPresences[PEC],ROW()-1),"")</f>
        <v/>
      </c>
      <c r="O21">
        <f>IF(ROW()-1&lt;=ROWS(tPresences),INDEX(tPresences[Statut_Resolution],ROW()-1),"")</f>
        <v/>
      </c>
    </row>
    <row r="22">
      <c r="A22">
        <f>IF(ROW()-1&lt;=ROWS(tPresences),INDEX(tPresences[Patient],ROW()-1),"")</f>
        <v/>
      </c>
      <c r="B22">
        <f>IF(ROW()-1&lt;=ROWS(tPresences),INDEX(tPresences[Cle_Patient_Norm],ROW()-1),"")</f>
        <v/>
      </c>
      <c r="C22" s="5">
        <f>IF(ROW()-1&lt;=ROWS(tPresences),INDEX(tPresences[Date],ROW()-1),"")</f>
        <v/>
      </c>
      <c r="D22">
        <f>IF(ROW()-1&lt;=ROWS(tPresences),INDEX(tPresences[Programmation],ROW()-1),"")</f>
        <v/>
      </c>
      <c r="E22">
        <f>IF(ROW()-1&lt;=ROWS(tPresences),INDEX(tPresences[Est_Present],ROW()-1),"")</f>
        <v/>
      </c>
      <c r="F22">
        <f>IF(ROW()-1&lt;=ROWS(tPresences),INDEX(tPresences[Parcours],ROW()-1),"")</f>
        <v/>
      </c>
      <c r="G22" s="4">
        <f>IF(ROW()-1&lt;=ROWS(tPresences),INDEX(tPresences[N_DA],ROW()-1),"")</f>
        <v/>
      </c>
      <c r="H22">
        <f>IF(ROW()-1&lt;=ROWS(tPresences),INDEX(tPresences[Cotation],ROW()-1),"")</f>
        <v/>
      </c>
      <c r="I22">
        <f>IF(ROW()-1&lt;=ROWS(tPresences),INDEX(tPresences[Regime],ROW()-1),"")</f>
        <v/>
      </c>
      <c r="J22">
        <f>IF(ROW()-1&lt;=ROWS(tPresences),INDEX(tPresences[Nb_Je_accordes],ROW()-1),"")</f>
        <v/>
      </c>
      <c r="K22">
        <f>IF(ROW()-1&lt;=ROWS(tPresences),INDEX(tPresences[Semaine],ROW()-1),"")</f>
        <v/>
      </c>
      <c r="L22">
        <f>IF(ROW()-1&lt;=ROWS(tPresences),INDEX(tPresences[Mois],ROW()-1),"")</f>
        <v/>
      </c>
      <c r="M22">
        <f>IF(ROW()-1&lt;=ROWS(tPresences),INDEX(tPresences[Groupe],ROW()-1),"")</f>
        <v/>
      </c>
      <c r="N22">
        <f>IF(ROW()-1&lt;=ROWS(tPresences),INDEX(tPresences[PEC],ROW()-1),"")</f>
        <v/>
      </c>
      <c r="O22">
        <f>IF(ROW()-1&lt;=ROWS(tPresences),INDEX(tPresences[Statut_Resolution],ROW()-1),"")</f>
        <v/>
      </c>
    </row>
    <row r="23">
      <c r="A23">
        <f>IF(ROW()-1&lt;=ROWS(tPresences),INDEX(tPresences[Patient],ROW()-1),"")</f>
        <v/>
      </c>
      <c r="B23">
        <f>IF(ROW()-1&lt;=ROWS(tPresences),INDEX(tPresences[Cle_Patient_Norm],ROW()-1),"")</f>
        <v/>
      </c>
      <c r="C23" s="5">
        <f>IF(ROW()-1&lt;=ROWS(tPresences),INDEX(tPresences[Date],ROW()-1),"")</f>
        <v/>
      </c>
      <c r="D23">
        <f>IF(ROW()-1&lt;=ROWS(tPresences),INDEX(tPresences[Programmation],ROW()-1),"")</f>
        <v/>
      </c>
      <c r="E23">
        <f>IF(ROW()-1&lt;=ROWS(tPresences),INDEX(tPresences[Est_Present],ROW()-1),"")</f>
        <v/>
      </c>
      <c r="F23">
        <f>IF(ROW()-1&lt;=ROWS(tPresences),INDEX(tPresences[Parcours],ROW()-1),"")</f>
        <v/>
      </c>
      <c r="G23" s="4">
        <f>IF(ROW()-1&lt;=ROWS(tPresences),INDEX(tPresences[N_DA],ROW()-1),"")</f>
        <v/>
      </c>
      <c r="H23">
        <f>IF(ROW()-1&lt;=ROWS(tPresences),INDEX(tPresences[Cotation],ROW()-1),"")</f>
        <v/>
      </c>
      <c r="I23">
        <f>IF(ROW()-1&lt;=ROWS(tPresences),INDEX(tPresences[Regime],ROW()-1),"")</f>
        <v/>
      </c>
      <c r="J23">
        <f>IF(ROW()-1&lt;=ROWS(tPresences),INDEX(tPresences[Nb_Je_accordes],ROW()-1),"")</f>
        <v/>
      </c>
      <c r="K23">
        <f>IF(ROW()-1&lt;=ROWS(tPresences),INDEX(tPresences[Semaine],ROW()-1),"")</f>
        <v/>
      </c>
      <c r="L23">
        <f>IF(ROW()-1&lt;=ROWS(tPresences),INDEX(tPresences[Mois],ROW()-1),"")</f>
        <v/>
      </c>
      <c r="M23">
        <f>IF(ROW()-1&lt;=ROWS(tPresences),INDEX(tPresences[Groupe],ROW()-1),"")</f>
        <v/>
      </c>
      <c r="N23">
        <f>IF(ROW()-1&lt;=ROWS(tPresences),INDEX(tPresences[PEC],ROW()-1),"")</f>
        <v/>
      </c>
      <c r="O23">
        <f>IF(ROW()-1&lt;=ROWS(tPresences),INDEX(tPresences[Statut_Resolution],ROW()-1),"")</f>
        <v/>
      </c>
    </row>
    <row r="24">
      <c r="A24">
        <f>IF(ROW()-1&lt;=ROWS(tPresences),INDEX(tPresences[Patient],ROW()-1),"")</f>
        <v/>
      </c>
      <c r="B24">
        <f>IF(ROW()-1&lt;=ROWS(tPresences),INDEX(tPresences[Cle_Patient_Norm],ROW()-1),"")</f>
        <v/>
      </c>
      <c r="C24" s="5">
        <f>IF(ROW()-1&lt;=ROWS(tPresences),INDEX(tPresences[Date],ROW()-1),"")</f>
        <v/>
      </c>
      <c r="D24">
        <f>IF(ROW()-1&lt;=ROWS(tPresences),INDEX(tPresences[Programmation],ROW()-1),"")</f>
        <v/>
      </c>
      <c r="E24">
        <f>IF(ROW()-1&lt;=ROWS(tPresences),INDEX(tPresences[Est_Present],ROW()-1),"")</f>
        <v/>
      </c>
      <c r="F24">
        <f>IF(ROW()-1&lt;=ROWS(tPresences),INDEX(tPresences[Parcours],ROW()-1),"")</f>
        <v/>
      </c>
      <c r="G24" s="4">
        <f>IF(ROW()-1&lt;=ROWS(tPresences),INDEX(tPresences[N_DA],ROW()-1),"")</f>
        <v/>
      </c>
      <c r="H24">
        <f>IF(ROW()-1&lt;=ROWS(tPresences),INDEX(tPresences[Cotation],ROW()-1),"")</f>
        <v/>
      </c>
      <c r="I24">
        <f>IF(ROW()-1&lt;=ROWS(tPresences),INDEX(tPresences[Regime],ROW()-1),"")</f>
        <v/>
      </c>
      <c r="J24">
        <f>IF(ROW()-1&lt;=ROWS(tPresences),INDEX(tPresences[Nb_Je_accordes],ROW()-1),"")</f>
        <v/>
      </c>
      <c r="K24">
        <f>IF(ROW()-1&lt;=ROWS(tPresences),INDEX(tPresences[Semaine],ROW()-1),"")</f>
        <v/>
      </c>
      <c r="L24">
        <f>IF(ROW()-1&lt;=ROWS(tPresences),INDEX(tPresences[Mois],ROW()-1),"")</f>
        <v/>
      </c>
      <c r="M24">
        <f>IF(ROW()-1&lt;=ROWS(tPresences),INDEX(tPresences[Groupe],ROW()-1),"")</f>
        <v/>
      </c>
      <c r="N24">
        <f>IF(ROW()-1&lt;=ROWS(tPresences),INDEX(tPresences[PEC],ROW()-1),"")</f>
        <v/>
      </c>
      <c r="O24">
        <f>IF(ROW()-1&lt;=ROWS(tPresences),INDEX(tPresences[Statut_Resolution],ROW()-1),"")</f>
        <v/>
      </c>
    </row>
    <row r="25">
      <c r="A25">
        <f>IF(ROW()-1&lt;=ROWS(tPresences),INDEX(tPresences[Patient],ROW()-1),"")</f>
        <v/>
      </c>
      <c r="B25">
        <f>IF(ROW()-1&lt;=ROWS(tPresences),INDEX(tPresences[Cle_Patient_Norm],ROW()-1),"")</f>
        <v/>
      </c>
      <c r="C25" s="5">
        <f>IF(ROW()-1&lt;=ROWS(tPresences),INDEX(tPresences[Date],ROW()-1),"")</f>
        <v/>
      </c>
      <c r="D25">
        <f>IF(ROW()-1&lt;=ROWS(tPresences),INDEX(tPresences[Programmation],ROW()-1),"")</f>
        <v/>
      </c>
      <c r="E25">
        <f>IF(ROW()-1&lt;=ROWS(tPresences),INDEX(tPresences[Est_Present],ROW()-1),"")</f>
        <v/>
      </c>
      <c r="F25">
        <f>IF(ROW()-1&lt;=ROWS(tPresences),INDEX(tPresences[Parcours],ROW()-1),"")</f>
        <v/>
      </c>
      <c r="G25" s="4">
        <f>IF(ROW()-1&lt;=ROWS(tPresences),INDEX(tPresences[N_DA],ROW()-1),"")</f>
        <v/>
      </c>
      <c r="H25">
        <f>IF(ROW()-1&lt;=ROWS(tPresences),INDEX(tPresences[Cotation],ROW()-1),"")</f>
        <v/>
      </c>
      <c r="I25">
        <f>IF(ROW()-1&lt;=ROWS(tPresences),INDEX(tPresences[Regime],ROW()-1),"")</f>
        <v/>
      </c>
      <c r="J25">
        <f>IF(ROW()-1&lt;=ROWS(tPresences),INDEX(tPresences[Nb_Je_accordes],ROW()-1),"")</f>
        <v/>
      </c>
      <c r="K25">
        <f>IF(ROW()-1&lt;=ROWS(tPresences),INDEX(tPresences[Semaine],ROW()-1),"")</f>
        <v/>
      </c>
      <c r="L25">
        <f>IF(ROW()-1&lt;=ROWS(tPresences),INDEX(tPresences[Mois],ROW()-1),"")</f>
        <v/>
      </c>
      <c r="M25">
        <f>IF(ROW()-1&lt;=ROWS(tPresences),INDEX(tPresences[Groupe],ROW()-1),"")</f>
        <v/>
      </c>
      <c r="N25">
        <f>IF(ROW()-1&lt;=ROWS(tPresences),INDEX(tPresences[PEC],ROW()-1),"")</f>
        <v/>
      </c>
      <c r="O25">
        <f>IF(ROW()-1&lt;=ROWS(tPresences),INDEX(tPresences[Statut_Resolution],ROW()-1),"")</f>
        <v/>
      </c>
    </row>
    <row r="26">
      <c r="A26">
        <f>IF(ROW()-1&lt;=ROWS(tPresences),INDEX(tPresences[Patient],ROW()-1),"")</f>
        <v/>
      </c>
      <c r="B26">
        <f>IF(ROW()-1&lt;=ROWS(tPresences),INDEX(tPresences[Cle_Patient_Norm],ROW()-1),"")</f>
        <v/>
      </c>
      <c r="C26" s="5">
        <f>IF(ROW()-1&lt;=ROWS(tPresences),INDEX(tPresences[Date],ROW()-1),"")</f>
        <v/>
      </c>
      <c r="D26">
        <f>IF(ROW()-1&lt;=ROWS(tPresences),INDEX(tPresences[Programmation],ROW()-1),"")</f>
        <v/>
      </c>
      <c r="E26">
        <f>IF(ROW()-1&lt;=ROWS(tPresences),INDEX(tPresences[Est_Present],ROW()-1),"")</f>
        <v/>
      </c>
      <c r="F26">
        <f>IF(ROW()-1&lt;=ROWS(tPresences),INDEX(tPresences[Parcours],ROW()-1),"")</f>
        <v/>
      </c>
      <c r="G26" s="4">
        <f>IF(ROW()-1&lt;=ROWS(tPresences),INDEX(tPresences[N_DA],ROW()-1),"")</f>
        <v/>
      </c>
      <c r="H26">
        <f>IF(ROW()-1&lt;=ROWS(tPresences),INDEX(tPresences[Cotation],ROW()-1),"")</f>
        <v/>
      </c>
      <c r="I26">
        <f>IF(ROW()-1&lt;=ROWS(tPresences),INDEX(tPresences[Regime],ROW()-1),"")</f>
        <v/>
      </c>
      <c r="J26">
        <f>IF(ROW()-1&lt;=ROWS(tPresences),INDEX(tPresences[Nb_Je_accordes],ROW()-1),"")</f>
        <v/>
      </c>
      <c r="K26">
        <f>IF(ROW()-1&lt;=ROWS(tPresences),INDEX(tPresences[Semaine],ROW()-1),"")</f>
        <v/>
      </c>
      <c r="L26">
        <f>IF(ROW()-1&lt;=ROWS(tPresences),INDEX(tPresences[Mois],ROW()-1),"")</f>
        <v/>
      </c>
      <c r="M26">
        <f>IF(ROW()-1&lt;=ROWS(tPresences),INDEX(tPresences[Groupe],ROW()-1),"")</f>
        <v/>
      </c>
      <c r="N26">
        <f>IF(ROW()-1&lt;=ROWS(tPresences),INDEX(tPresences[PEC],ROW()-1),"")</f>
        <v/>
      </c>
      <c r="O26">
        <f>IF(ROW()-1&lt;=ROWS(tPresences),INDEX(tPresences[Statut_Resolution],ROW()-1),"")</f>
        <v/>
      </c>
    </row>
    <row r="27">
      <c r="A27">
        <f>IF(ROW()-1&lt;=ROWS(tPresences),INDEX(tPresences[Patient],ROW()-1),"")</f>
        <v/>
      </c>
      <c r="B27">
        <f>IF(ROW()-1&lt;=ROWS(tPresences),INDEX(tPresences[Cle_Patient_Norm],ROW()-1),"")</f>
        <v/>
      </c>
      <c r="C27" s="5">
        <f>IF(ROW()-1&lt;=ROWS(tPresences),INDEX(tPresences[Date],ROW()-1),"")</f>
        <v/>
      </c>
      <c r="D27">
        <f>IF(ROW()-1&lt;=ROWS(tPresences),INDEX(tPresences[Programmation],ROW()-1),"")</f>
        <v/>
      </c>
      <c r="E27">
        <f>IF(ROW()-1&lt;=ROWS(tPresences),INDEX(tPresences[Est_Present],ROW()-1),"")</f>
        <v/>
      </c>
      <c r="F27">
        <f>IF(ROW()-1&lt;=ROWS(tPresences),INDEX(tPresences[Parcours],ROW()-1),"")</f>
        <v/>
      </c>
      <c r="G27" s="4">
        <f>IF(ROW()-1&lt;=ROWS(tPresences),INDEX(tPresences[N_DA],ROW()-1),"")</f>
        <v/>
      </c>
      <c r="H27">
        <f>IF(ROW()-1&lt;=ROWS(tPresences),INDEX(tPresences[Cotation],ROW()-1),"")</f>
        <v/>
      </c>
      <c r="I27">
        <f>IF(ROW()-1&lt;=ROWS(tPresences),INDEX(tPresences[Regime],ROW()-1),"")</f>
        <v/>
      </c>
      <c r="J27">
        <f>IF(ROW()-1&lt;=ROWS(tPresences),INDEX(tPresences[Nb_Je_accordes],ROW()-1),"")</f>
        <v/>
      </c>
      <c r="K27">
        <f>IF(ROW()-1&lt;=ROWS(tPresences),INDEX(tPresences[Semaine],ROW()-1),"")</f>
        <v/>
      </c>
      <c r="L27">
        <f>IF(ROW()-1&lt;=ROWS(tPresences),INDEX(tPresences[Mois],ROW()-1),"")</f>
        <v/>
      </c>
      <c r="M27">
        <f>IF(ROW()-1&lt;=ROWS(tPresences),INDEX(tPresences[Groupe],ROW()-1),"")</f>
        <v/>
      </c>
      <c r="N27">
        <f>IF(ROW()-1&lt;=ROWS(tPresences),INDEX(tPresences[PEC],ROW()-1),"")</f>
        <v/>
      </c>
      <c r="O27">
        <f>IF(ROW()-1&lt;=ROWS(tPresences),INDEX(tPresences[Statut_Resolution],ROW()-1),"")</f>
        <v/>
      </c>
    </row>
    <row r="28">
      <c r="A28">
        <f>IF(ROW()-1&lt;=ROWS(tPresences),INDEX(tPresences[Patient],ROW()-1),"")</f>
        <v/>
      </c>
      <c r="B28">
        <f>IF(ROW()-1&lt;=ROWS(tPresences),INDEX(tPresences[Cle_Patient_Norm],ROW()-1),"")</f>
        <v/>
      </c>
      <c r="C28" s="5">
        <f>IF(ROW()-1&lt;=ROWS(tPresences),INDEX(tPresences[Date],ROW()-1),"")</f>
        <v/>
      </c>
      <c r="D28">
        <f>IF(ROW()-1&lt;=ROWS(tPresences),INDEX(tPresences[Programmation],ROW()-1),"")</f>
        <v/>
      </c>
      <c r="E28">
        <f>IF(ROW()-1&lt;=ROWS(tPresences),INDEX(tPresences[Est_Present],ROW()-1),"")</f>
        <v/>
      </c>
      <c r="F28">
        <f>IF(ROW()-1&lt;=ROWS(tPresences),INDEX(tPresences[Parcours],ROW()-1),"")</f>
        <v/>
      </c>
      <c r="G28" s="4">
        <f>IF(ROW()-1&lt;=ROWS(tPresences),INDEX(tPresences[N_DA],ROW()-1),"")</f>
        <v/>
      </c>
      <c r="H28">
        <f>IF(ROW()-1&lt;=ROWS(tPresences),INDEX(tPresences[Cotation],ROW()-1),"")</f>
        <v/>
      </c>
      <c r="I28">
        <f>IF(ROW()-1&lt;=ROWS(tPresences),INDEX(tPresences[Regime],ROW()-1),"")</f>
        <v/>
      </c>
      <c r="J28">
        <f>IF(ROW()-1&lt;=ROWS(tPresences),INDEX(tPresences[Nb_Je_accordes],ROW()-1),"")</f>
        <v/>
      </c>
      <c r="K28">
        <f>IF(ROW()-1&lt;=ROWS(tPresences),INDEX(tPresences[Semaine],ROW()-1),"")</f>
        <v/>
      </c>
      <c r="L28">
        <f>IF(ROW()-1&lt;=ROWS(tPresences),INDEX(tPresences[Mois],ROW()-1),"")</f>
        <v/>
      </c>
      <c r="M28">
        <f>IF(ROW()-1&lt;=ROWS(tPresences),INDEX(tPresences[Groupe],ROW()-1),"")</f>
        <v/>
      </c>
      <c r="N28">
        <f>IF(ROW()-1&lt;=ROWS(tPresences),INDEX(tPresences[PEC],ROW()-1),"")</f>
        <v/>
      </c>
      <c r="O28">
        <f>IF(ROW()-1&lt;=ROWS(tPresences),INDEX(tPresences[Statut_Resolution],ROW()-1),"")</f>
        <v/>
      </c>
    </row>
    <row r="29">
      <c r="A29">
        <f>IF(ROW()-1&lt;=ROWS(tPresences),INDEX(tPresences[Patient],ROW()-1),"")</f>
        <v/>
      </c>
      <c r="B29">
        <f>IF(ROW()-1&lt;=ROWS(tPresences),INDEX(tPresences[Cle_Patient_Norm],ROW()-1),"")</f>
        <v/>
      </c>
      <c r="C29" s="5">
        <f>IF(ROW()-1&lt;=ROWS(tPresences),INDEX(tPresences[Date],ROW()-1),"")</f>
        <v/>
      </c>
      <c r="D29">
        <f>IF(ROW()-1&lt;=ROWS(tPresences),INDEX(tPresences[Programmation],ROW()-1),"")</f>
        <v/>
      </c>
      <c r="E29">
        <f>IF(ROW()-1&lt;=ROWS(tPresences),INDEX(tPresences[Est_Present],ROW()-1),"")</f>
        <v/>
      </c>
      <c r="F29">
        <f>IF(ROW()-1&lt;=ROWS(tPresences),INDEX(tPresences[Parcours],ROW()-1),"")</f>
        <v/>
      </c>
      <c r="G29" s="4">
        <f>IF(ROW()-1&lt;=ROWS(tPresences),INDEX(tPresences[N_DA],ROW()-1),"")</f>
        <v/>
      </c>
      <c r="H29">
        <f>IF(ROW()-1&lt;=ROWS(tPresences),INDEX(tPresences[Cotation],ROW()-1),"")</f>
        <v/>
      </c>
      <c r="I29">
        <f>IF(ROW()-1&lt;=ROWS(tPresences),INDEX(tPresences[Regime],ROW()-1),"")</f>
        <v/>
      </c>
      <c r="J29">
        <f>IF(ROW()-1&lt;=ROWS(tPresences),INDEX(tPresences[Nb_Je_accordes],ROW()-1),"")</f>
        <v/>
      </c>
      <c r="K29">
        <f>IF(ROW()-1&lt;=ROWS(tPresences),INDEX(tPresences[Semaine],ROW()-1),"")</f>
        <v/>
      </c>
      <c r="L29">
        <f>IF(ROW()-1&lt;=ROWS(tPresences),INDEX(tPresences[Mois],ROW()-1),"")</f>
        <v/>
      </c>
      <c r="M29">
        <f>IF(ROW()-1&lt;=ROWS(tPresences),INDEX(tPresences[Groupe],ROW()-1),"")</f>
        <v/>
      </c>
      <c r="N29">
        <f>IF(ROW()-1&lt;=ROWS(tPresences),INDEX(tPresences[PEC],ROW()-1),"")</f>
        <v/>
      </c>
      <c r="O29">
        <f>IF(ROW()-1&lt;=ROWS(tPresences),INDEX(tPresences[Statut_Resolution],ROW()-1),"")</f>
        <v/>
      </c>
    </row>
    <row r="30">
      <c r="A30">
        <f>IF(ROW()-1&lt;=ROWS(tPresences),INDEX(tPresences[Patient],ROW()-1),"")</f>
        <v/>
      </c>
      <c r="B30">
        <f>IF(ROW()-1&lt;=ROWS(tPresences),INDEX(tPresences[Cle_Patient_Norm],ROW()-1),"")</f>
        <v/>
      </c>
      <c r="C30" s="5">
        <f>IF(ROW()-1&lt;=ROWS(tPresences),INDEX(tPresences[Date],ROW()-1),"")</f>
        <v/>
      </c>
      <c r="D30">
        <f>IF(ROW()-1&lt;=ROWS(tPresences),INDEX(tPresences[Programmation],ROW()-1),"")</f>
        <v/>
      </c>
      <c r="E30">
        <f>IF(ROW()-1&lt;=ROWS(tPresences),INDEX(tPresences[Est_Present],ROW()-1),"")</f>
        <v/>
      </c>
      <c r="F30">
        <f>IF(ROW()-1&lt;=ROWS(tPresences),INDEX(tPresences[Parcours],ROW()-1),"")</f>
        <v/>
      </c>
      <c r="G30" s="4">
        <f>IF(ROW()-1&lt;=ROWS(tPresences),INDEX(tPresences[N_DA],ROW()-1),"")</f>
        <v/>
      </c>
      <c r="H30">
        <f>IF(ROW()-1&lt;=ROWS(tPresences),INDEX(tPresences[Cotation],ROW()-1),"")</f>
        <v/>
      </c>
      <c r="I30">
        <f>IF(ROW()-1&lt;=ROWS(tPresences),INDEX(tPresences[Regime],ROW()-1),"")</f>
        <v/>
      </c>
      <c r="J30">
        <f>IF(ROW()-1&lt;=ROWS(tPresences),INDEX(tPresences[Nb_Je_accordes],ROW()-1),"")</f>
        <v/>
      </c>
      <c r="K30">
        <f>IF(ROW()-1&lt;=ROWS(tPresences),INDEX(tPresences[Semaine],ROW()-1),"")</f>
        <v/>
      </c>
      <c r="L30">
        <f>IF(ROW()-1&lt;=ROWS(tPresences),INDEX(tPresences[Mois],ROW()-1),"")</f>
        <v/>
      </c>
      <c r="M30">
        <f>IF(ROW()-1&lt;=ROWS(tPresences),INDEX(tPresences[Groupe],ROW()-1),"")</f>
        <v/>
      </c>
      <c r="N30">
        <f>IF(ROW()-1&lt;=ROWS(tPresences),INDEX(tPresences[PEC],ROW()-1),"")</f>
        <v/>
      </c>
      <c r="O30">
        <f>IF(ROW()-1&lt;=ROWS(tPresences),INDEX(tPresences[Statut_Resolution],ROW()-1),"")</f>
        <v/>
      </c>
    </row>
    <row r="31">
      <c r="A31">
        <f>IF(ROW()-1&lt;=ROWS(tPresences),INDEX(tPresences[Patient],ROW()-1),"")</f>
        <v/>
      </c>
      <c r="B31">
        <f>IF(ROW()-1&lt;=ROWS(tPresences),INDEX(tPresences[Cle_Patient_Norm],ROW()-1),"")</f>
        <v/>
      </c>
      <c r="C31" s="5">
        <f>IF(ROW()-1&lt;=ROWS(tPresences),INDEX(tPresences[Date],ROW()-1),"")</f>
        <v/>
      </c>
      <c r="D31">
        <f>IF(ROW()-1&lt;=ROWS(tPresences),INDEX(tPresences[Programmation],ROW()-1),"")</f>
        <v/>
      </c>
      <c r="E31">
        <f>IF(ROW()-1&lt;=ROWS(tPresences),INDEX(tPresences[Est_Present],ROW()-1),"")</f>
        <v/>
      </c>
      <c r="F31">
        <f>IF(ROW()-1&lt;=ROWS(tPresences),INDEX(tPresences[Parcours],ROW()-1),"")</f>
        <v/>
      </c>
      <c r="G31" s="4">
        <f>IF(ROW()-1&lt;=ROWS(tPresences),INDEX(tPresences[N_DA],ROW()-1),"")</f>
        <v/>
      </c>
      <c r="H31">
        <f>IF(ROW()-1&lt;=ROWS(tPresences),INDEX(tPresences[Cotation],ROW()-1),"")</f>
        <v/>
      </c>
      <c r="I31">
        <f>IF(ROW()-1&lt;=ROWS(tPresences),INDEX(tPresences[Regime],ROW()-1),"")</f>
        <v/>
      </c>
      <c r="J31">
        <f>IF(ROW()-1&lt;=ROWS(tPresences),INDEX(tPresences[Nb_Je_accordes],ROW()-1),"")</f>
        <v/>
      </c>
      <c r="K31">
        <f>IF(ROW()-1&lt;=ROWS(tPresences),INDEX(tPresences[Semaine],ROW()-1),"")</f>
        <v/>
      </c>
      <c r="L31">
        <f>IF(ROW()-1&lt;=ROWS(tPresences),INDEX(tPresences[Mois],ROW()-1),"")</f>
        <v/>
      </c>
      <c r="M31">
        <f>IF(ROW()-1&lt;=ROWS(tPresences),INDEX(tPresences[Groupe],ROW()-1),"")</f>
        <v/>
      </c>
      <c r="N31">
        <f>IF(ROW()-1&lt;=ROWS(tPresences),INDEX(tPresences[PEC],ROW()-1),"")</f>
        <v/>
      </c>
      <c r="O31">
        <f>IF(ROW()-1&lt;=ROWS(tPresences),INDEX(tPresences[Statut_Resolution],ROW()-1),"")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4" customWidth="1" min="5" max="5"/>
    <col width="16" customWidth="1" min="6" max="6"/>
    <col width="17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  <col width="13" customWidth="1" min="23" max="23"/>
    <col width="17" customWidth="1" min="24" max="24"/>
    <col width="13" customWidth="1" min="25" max="25"/>
    <col width="13" customWidth="1" min="26" max="26"/>
    <col width="13" customWidth="1" min="27" max="27"/>
  </cols>
  <sheetData>
    <row r="1">
      <c r="A1" s="1" t="inlineStr">
        <is>
          <t>Mois</t>
        </is>
      </c>
      <c r="B1" s="1" t="inlineStr">
        <is>
          <t>Date_facture</t>
        </is>
      </c>
      <c r="C1" s="1" t="inlineStr">
        <is>
          <t>N_semaine</t>
        </is>
      </c>
      <c r="D1" s="1" t="inlineStr">
        <is>
          <t>Ref</t>
        </is>
      </c>
      <c r="E1" s="1" t="inlineStr">
        <is>
          <t>N_DE_FACTURE</t>
        </is>
      </c>
      <c r="F1" s="1" t="inlineStr">
        <is>
          <t>Code_recherche</t>
        </is>
      </c>
      <c r="G1" s="1" t="inlineStr">
        <is>
          <t>Type_de_facture</t>
        </is>
      </c>
      <c r="H1" s="1" t="inlineStr">
        <is>
          <t>Cotation</t>
        </is>
      </c>
      <c r="I1" s="1" t="inlineStr">
        <is>
          <t>Type_PEC</t>
        </is>
      </c>
      <c r="J1" s="1" t="inlineStr">
        <is>
          <t>DA</t>
        </is>
      </c>
      <c r="K1" s="1" t="inlineStr">
        <is>
          <t>Regime</t>
        </is>
      </c>
      <c r="L1" s="1" t="inlineStr">
        <is>
          <t>DN</t>
        </is>
      </c>
      <c r="M1" s="1" t="inlineStr">
        <is>
          <t>Nom</t>
        </is>
      </c>
      <c r="N1" s="1" t="inlineStr">
        <is>
          <t>Prenom</t>
        </is>
      </c>
      <c r="O1" s="1" t="inlineStr">
        <is>
          <t>Date_naissance</t>
        </is>
      </c>
      <c r="P1" s="1" t="inlineStr">
        <is>
          <t>Adresse</t>
        </is>
      </c>
      <c r="Q1" s="1" t="inlineStr">
        <is>
          <t>Commune</t>
        </is>
      </c>
      <c r="R1" s="1" t="inlineStr">
        <is>
          <t>Telephone</t>
        </is>
      </c>
      <c r="S1" s="1" t="inlineStr">
        <is>
          <t>Date_debut</t>
        </is>
      </c>
      <c r="T1" s="1" t="inlineStr">
        <is>
          <t>Date_fin</t>
        </is>
      </c>
      <c r="U1" s="1" t="inlineStr">
        <is>
          <t>Nb_journees</t>
        </is>
      </c>
      <c r="V1" s="1" t="inlineStr">
        <is>
          <t>Tarif_unitaire</t>
        </is>
      </c>
      <c r="W1" s="1" t="inlineStr">
        <is>
          <t>Montant</t>
        </is>
      </c>
      <c r="X1" s="1" t="inlineStr">
        <is>
          <t>Categorie_Refus</t>
        </is>
      </c>
      <c r="Y1" s="1" t="inlineStr">
        <is>
          <t>Date_depot</t>
        </is>
      </c>
      <c r="Z1" s="1" t="inlineStr">
        <is>
          <t>Eligible</t>
        </is>
      </c>
      <c r="AA1" s="1" t="inlineStr">
        <is>
          <t>Motif_rejet</t>
        </is>
      </c>
    </row>
    <row r="2">
      <c r="A2">
        <f>IF([@Date_debut]="","",MONTH([@Date_debut]))</f>
        <v/>
      </c>
      <c r="B2" s="5" t="n"/>
      <c r="E2" s="4" t="n"/>
      <c r="G2">
        <f>IF([@Regime]="","",_xlfn.XLOOKUP([@Regime],tRegimes[Regime],tRegimes[Payeur],"⚠"))</f>
        <v/>
      </c>
      <c r="I2">
        <f>_xlfn.XLOOKUP([@Cotation],tTarif[Code_PEC],tTarif[PEC],"")</f>
        <v/>
      </c>
      <c r="J2" s="4" t="n"/>
      <c r="K2">
        <f>_xlfn.XLOOKUP([@DA],tDA[N_DA],tDA[Regime],"")</f>
        <v/>
      </c>
      <c r="L2">
        <f>_xlfn.XLOOKUP([@Code_recherche],tPatients[Recherche],tPatients[DN],"")</f>
        <v/>
      </c>
      <c r="M2">
        <f>_xlfn.XLOOKUP([@Code_recherche],tPatients[Recherche],tPatients[Nom],"")</f>
        <v/>
      </c>
      <c r="N2">
        <f>_xlfn.XLOOKUP([@Code_recherche],tPatients[Recherche],tPatients[Prenom],"")</f>
        <v/>
      </c>
      <c r="O2" s="5">
        <f>_xlfn.XLOOKUP([@Code_recherche],tPatients[Recherche],tPatients[Date_naissance],"")</f>
        <v/>
      </c>
      <c r="P2">
        <f>_xlfn.XLOOKUP([@Code_recherche],tPatients[Recherche],tPatients[Adresse],"")</f>
        <v/>
      </c>
      <c r="Q2">
        <f>_xlfn.XLOOKUP([@Code_recherche],tPatients[Recherche],tPatients[Commune],"")</f>
        <v/>
      </c>
      <c r="R2">
        <f>_xlfn.XLOOKUP([@Code_recherche],tPatients[Recherche],tPatients[N_tel],"")</f>
        <v/>
      </c>
      <c r="S2" s="5" t="n"/>
      <c r="T2" s="5" t="n"/>
      <c r="U2">
        <f>IF(OR([@DA]="",[@N_semaine]=""),"",COUNTIFS(CONSO_Presences[N_DA],[@DA],CONSO_Presences[Semaine],[@N_semaine],CONSO_Presences[Est_Present],TRUE))</f>
        <v/>
      </c>
      <c r="V2">
        <f>IF([@Cotation]="","",_xlfn.XLOOKUP([@Cotation],tTarif[Code_PEC],tTarif[Tarif_XPF],"⚠ tarif inconnu"))</f>
        <v/>
      </c>
      <c r="W2">
        <f>IF(OR([@Cotation]="",[@Nb_journees]="",[@Tarif_unitaire]="⚠ tarif inconnu"),"",[@Tarif_unitaire]*[@Nb_journees])</f>
        <v/>
      </c>
      <c r="Y2" s="5" t="n"/>
      <c r="Z2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2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3">
      <c r="A3">
        <f>IF([@Date_debut]="","",MONTH([@Date_debut]))</f>
        <v/>
      </c>
      <c r="B3" s="5" t="n"/>
      <c r="E3" s="4" t="n"/>
      <c r="G3">
        <f>IF([@Regime]="","",_xlfn.XLOOKUP([@Regime],tRegimes[Regime],tRegimes[Payeur],"⚠"))</f>
        <v/>
      </c>
      <c r="I3">
        <f>_xlfn.XLOOKUP([@Cotation],tTarif[Code_PEC],tTarif[PEC],"")</f>
        <v/>
      </c>
      <c r="J3" s="4" t="n"/>
      <c r="K3">
        <f>_xlfn.XLOOKUP([@DA],tDA[N_DA],tDA[Regime],"")</f>
        <v/>
      </c>
      <c r="L3">
        <f>_xlfn.XLOOKUP([@Code_recherche],tPatients[Recherche],tPatients[DN],"")</f>
        <v/>
      </c>
      <c r="M3">
        <f>_xlfn.XLOOKUP([@Code_recherche],tPatients[Recherche],tPatients[Nom],"")</f>
        <v/>
      </c>
      <c r="N3">
        <f>_xlfn.XLOOKUP([@Code_recherche],tPatients[Recherche],tPatients[Prenom],"")</f>
        <v/>
      </c>
      <c r="O3" s="5">
        <f>_xlfn.XLOOKUP([@Code_recherche],tPatients[Recherche],tPatients[Date_naissance],"")</f>
        <v/>
      </c>
      <c r="P3">
        <f>_xlfn.XLOOKUP([@Code_recherche],tPatients[Recherche],tPatients[Adresse],"")</f>
        <v/>
      </c>
      <c r="Q3">
        <f>_xlfn.XLOOKUP([@Code_recherche],tPatients[Recherche],tPatients[Commune],"")</f>
        <v/>
      </c>
      <c r="R3">
        <f>_xlfn.XLOOKUP([@Code_recherche],tPatients[Recherche],tPatients[N_tel],"")</f>
        <v/>
      </c>
      <c r="S3" s="5" t="n"/>
      <c r="T3" s="5" t="n"/>
      <c r="U3">
        <f>IF(OR([@DA]="",[@N_semaine]=""),"",COUNTIFS(CONSO_Presences[N_DA],[@DA],CONSO_Presences[Semaine],[@N_semaine],CONSO_Presences[Est_Present],TRUE))</f>
        <v/>
      </c>
      <c r="V3">
        <f>IF([@Cotation]="","",_xlfn.XLOOKUP([@Cotation],tTarif[Code_PEC],tTarif[Tarif_XPF],"⚠ tarif inconnu"))</f>
        <v/>
      </c>
      <c r="W3">
        <f>IF(OR([@Cotation]="",[@Nb_journees]="",[@Tarif_unitaire]="⚠ tarif inconnu"),"",[@Tarif_unitaire]*[@Nb_journees])</f>
        <v/>
      </c>
      <c r="Y3" s="5" t="n"/>
      <c r="Z3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3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4">
      <c r="A4">
        <f>IF([@Date_debut]="","",MONTH([@Date_debut]))</f>
        <v/>
      </c>
      <c r="B4" s="5" t="n"/>
      <c r="E4" s="4" t="n"/>
      <c r="G4">
        <f>IF([@Regime]="","",_xlfn.XLOOKUP([@Regime],tRegimes[Regime],tRegimes[Payeur],"⚠"))</f>
        <v/>
      </c>
      <c r="I4">
        <f>_xlfn.XLOOKUP([@Cotation],tTarif[Code_PEC],tTarif[PEC],"")</f>
        <v/>
      </c>
      <c r="J4" s="4" t="n"/>
      <c r="K4">
        <f>_xlfn.XLOOKUP([@DA],tDA[N_DA],tDA[Regime],"")</f>
        <v/>
      </c>
      <c r="L4">
        <f>_xlfn.XLOOKUP([@Code_recherche],tPatients[Recherche],tPatients[DN],"")</f>
        <v/>
      </c>
      <c r="M4">
        <f>_xlfn.XLOOKUP([@Code_recherche],tPatients[Recherche],tPatients[Nom],"")</f>
        <v/>
      </c>
      <c r="N4">
        <f>_xlfn.XLOOKUP([@Code_recherche],tPatients[Recherche],tPatients[Prenom],"")</f>
        <v/>
      </c>
      <c r="O4" s="5">
        <f>_xlfn.XLOOKUP([@Code_recherche],tPatients[Recherche],tPatients[Date_naissance],"")</f>
        <v/>
      </c>
      <c r="P4">
        <f>_xlfn.XLOOKUP([@Code_recherche],tPatients[Recherche],tPatients[Adresse],"")</f>
        <v/>
      </c>
      <c r="Q4">
        <f>_xlfn.XLOOKUP([@Code_recherche],tPatients[Recherche],tPatients[Commune],"")</f>
        <v/>
      </c>
      <c r="R4">
        <f>_xlfn.XLOOKUP([@Code_recherche],tPatients[Recherche],tPatients[N_tel],"")</f>
        <v/>
      </c>
      <c r="S4" s="5" t="n"/>
      <c r="T4" s="5" t="n"/>
      <c r="U4">
        <f>IF(OR([@DA]="",[@N_semaine]=""),"",COUNTIFS(CONSO_Presences[N_DA],[@DA],CONSO_Presences[Semaine],[@N_semaine],CONSO_Presences[Est_Present],TRUE))</f>
        <v/>
      </c>
      <c r="V4">
        <f>IF([@Cotation]="","",_xlfn.XLOOKUP([@Cotation],tTarif[Code_PEC],tTarif[Tarif_XPF],"⚠ tarif inconnu"))</f>
        <v/>
      </c>
      <c r="W4">
        <f>IF(OR([@Cotation]="",[@Nb_journees]="",[@Tarif_unitaire]="⚠ tarif inconnu"),"",[@Tarif_unitaire]*[@Nb_journees])</f>
        <v/>
      </c>
      <c r="Y4" s="5" t="n"/>
      <c r="Z4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4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5">
      <c r="A5">
        <f>IF([@Date_debut]="","",MONTH([@Date_debut]))</f>
        <v/>
      </c>
      <c r="B5" s="5" t="n"/>
      <c r="E5" s="4" t="n"/>
      <c r="G5">
        <f>IF([@Regime]="","",_xlfn.XLOOKUP([@Regime],tRegimes[Regime],tRegimes[Payeur],"⚠"))</f>
        <v/>
      </c>
      <c r="I5">
        <f>_xlfn.XLOOKUP([@Cotation],tTarif[Code_PEC],tTarif[PEC],"")</f>
        <v/>
      </c>
      <c r="J5" s="4" t="n"/>
      <c r="K5">
        <f>_xlfn.XLOOKUP([@DA],tDA[N_DA],tDA[Regime],"")</f>
        <v/>
      </c>
      <c r="L5">
        <f>_xlfn.XLOOKUP([@Code_recherche],tPatients[Recherche],tPatients[DN],"")</f>
        <v/>
      </c>
      <c r="M5">
        <f>_xlfn.XLOOKUP([@Code_recherche],tPatients[Recherche],tPatients[Nom],"")</f>
        <v/>
      </c>
      <c r="N5">
        <f>_xlfn.XLOOKUP([@Code_recherche],tPatients[Recherche],tPatients[Prenom],"")</f>
        <v/>
      </c>
      <c r="O5" s="5">
        <f>_xlfn.XLOOKUP([@Code_recherche],tPatients[Recherche],tPatients[Date_naissance],"")</f>
        <v/>
      </c>
      <c r="P5">
        <f>_xlfn.XLOOKUP([@Code_recherche],tPatients[Recherche],tPatients[Adresse],"")</f>
        <v/>
      </c>
      <c r="Q5">
        <f>_xlfn.XLOOKUP([@Code_recherche],tPatients[Recherche],tPatients[Commune],"")</f>
        <v/>
      </c>
      <c r="R5">
        <f>_xlfn.XLOOKUP([@Code_recherche],tPatients[Recherche],tPatients[N_tel],"")</f>
        <v/>
      </c>
      <c r="S5" s="5" t="n"/>
      <c r="T5" s="5" t="n"/>
      <c r="U5">
        <f>IF(OR([@DA]="",[@N_semaine]=""),"",COUNTIFS(CONSO_Presences[N_DA],[@DA],CONSO_Presences[Semaine],[@N_semaine],CONSO_Presences[Est_Present],TRUE))</f>
        <v/>
      </c>
      <c r="V5">
        <f>IF([@Cotation]="","",_xlfn.XLOOKUP([@Cotation],tTarif[Code_PEC],tTarif[Tarif_XPF],"⚠ tarif inconnu"))</f>
        <v/>
      </c>
      <c r="W5">
        <f>IF(OR([@Cotation]="",[@Nb_journees]="",[@Tarif_unitaire]="⚠ tarif inconnu"),"",[@Tarif_unitaire]*[@Nb_journees])</f>
        <v/>
      </c>
      <c r="Y5" s="5" t="n"/>
      <c r="Z5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5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6">
      <c r="A6">
        <f>IF([@Date_debut]="","",MONTH([@Date_debut]))</f>
        <v/>
      </c>
      <c r="B6" s="5" t="n"/>
      <c r="E6" s="4" t="n"/>
      <c r="G6">
        <f>IF([@Regime]="","",_xlfn.XLOOKUP([@Regime],tRegimes[Regime],tRegimes[Payeur],"⚠"))</f>
        <v/>
      </c>
      <c r="I6">
        <f>_xlfn.XLOOKUP([@Cotation],tTarif[Code_PEC],tTarif[PEC],"")</f>
        <v/>
      </c>
      <c r="J6" s="4" t="n"/>
      <c r="K6">
        <f>_xlfn.XLOOKUP([@DA],tDA[N_DA],tDA[Regime],"")</f>
        <v/>
      </c>
      <c r="L6">
        <f>_xlfn.XLOOKUP([@Code_recherche],tPatients[Recherche],tPatients[DN],"")</f>
        <v/>
      </c>
      <c r="M6">
        <f>_xlfn.XLOOKUP([@Code_recherche],tPatients[Recherche],tPatients[Nom],"")</f>
        <v/>
      </c>
      <c r="N6">
        <f>_xlfn.XLOOKUP([@Code_recherche],tPatients[Recherche],tPatients[Prenom],"")</f>
        <v/>
      </c>
      <c r="O6" s="5">
        <f>_xlfn.XLOOKUP([@Code_recherche],tPatients[Recherche],tPatients[Date_naissance],"")</f>
        <v/>
      </c>
      <c r="P6">
        <f>_xlfn.XLOOKUP([@Code_recherche],tPatients[Recherche],tPatients[Adresse],"")</f>
        <v/>
      </c>
      <c r="Q6">
        <f>_xlfn.XLOOKUP([@Code_recherche],tPatients[Recherche],tPatients[Commune],"")</f>
        <v/>
      </c>
      <c r="R6">
        <f>_xlfn.XLOOKUP([@Code_recherche],tPatients[Recherche],tPatients[N_tel],"")</f>
        <v/>
      </c>
      <c r="S6" s="5" t="n"/>
      <c r="T6" s="5" t="n"/>
      <c r="U6">
        <f>IF(OR([@DA]="",[@N_semaine]=""),"",COUNTIFS(CONSO_Presences[N_DA],[@DA],CONSO_Presences[Semaine],[@N_semaine],CONSO_Presences[Est_Present],TRUE))</f>
        <v/>
      </c>
      <c r="V6">
        <f>IF([@Cotation]="","",_xlfn.XLOOKUP([@Cotation],tTarif[Code_PEC],tTarif[Tarif_XPF],"⚠ tarif inconnu"))</f>
        <v/>
      </c>
      <c r="W6">
        <f>IF(OR([@Cotation]="",[@Nb_journees]="",[@Tarif_unitaire]="⚠ tarif inconnu"),"",[@Tarif_unitaire]*[@Nb_journees])</f>
        <v/>
      </c>
      <c r="Y6" s="5" t="n"/>
      <c r="Z6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6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7">
      <c r="A7">
        <f>IF([@Date_debut]="","",MONTH([@Date_debut]))</f>
        <v/>
      </c>
      <c r="B7" s="5" t="n"/>
      <c r="E7" s="4" t="n"/>
      <c r="G7">
        <f>IF([@Regime]="","",_xlfn.XLOOKUP([@Regime],tRegimes[Regime],tRegimes[Payeur],"⚠"))</f>
        <v/>
      </c>
      <c r="I7">
        <f>_xlfn.XLOOKUP([@Cotation],tTarif[Code_PEC],tTarif[PEC],"")</f>
        <v/>
      </c>
      <c r="J7" s="4" t="n"/>
      <c r="K7">
        <f>_xlfn.XLOOKUP([@DA],tDA[N_DA],tDA[Regime],"")</f>
        <v/>
      </c>
      <c r="L7">
        <f>_xlfn.XLOOKUP([@Code_recherche],tPatients[Recherche],tPatients[DN],"")</f>
        <v/>
      </c>
      <c r="M7">
        <f>_xlfn.XLOOKUP([@Code_recherche],tPatients[Recherche],tPatients[Nom],"")</f>
        <v/>
      </c>
      <c r="N7">
        <f>_xlfn.XLOOKUP([@Code_recherche],tPatients[Recherche],tPatients[Prenom],"")</f>
        <v/>
      </c>
      <c r="O7" s="5">
        <f>_xlfn.XLOOKUP([@Code_recherche],tPatients[Recherche],tPatients[Date_naissance],"")</f>
        <v/>
      </c>
      <c r="P7">
        <f>_xlfn.XLOOKUP([@Code_recherche],tPatients[Recherche],tPatients[Adresse],"")</f>
        <v/>
      </c>
      <c r="Q7">
        <f>_xlfn.XLOOKUP([@Code_recherche],tPatients[Recherche],tPatients[Commune],"")</f>
        <v/>
      </c>
      <c r="R7">
        <f>_xlfn.XLOOKUP([@Code_recherche],tPatients[Recherche],tPatients[N_tel],"")</f>
        <v/>
      </c>
      <c r="S7" s="5" t="n"/>
      <c r="T7" s="5" t="n"/>
      <c r="U7">
        <f>IF(OR([@DA]="",[@N_semaine]=""),"",COUNTIFS(CONSO_Presences[N_DA],[@DA],CONSO_Presences[Semaine],[@N_semaine],CONSO_Presences[Est_Present],TRUE))</f>
        <v/>
      </c>
      <c r="V7">
        <f>IF([@Cotation]="","",_xlfn.XLOOKUP([@Cotation],tTarif[Code_PEC],tTarif[Tarif_XPF],"⚠ tarif inconnu"))</f>
        <v/>
      </c>
      <c r="W7">
        <f>IF(OR([@Cotation]="",[@Nb_journees]="",[@Tarif_unitaire]="⚠ tarif inconnu"),"",[@Tarif_unitaire]*[@Nb_journees])</f>
        <v/>
      </c>
      <c r="Y7" s="5" t="n"/>
      <c r="Z7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7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8">
      <c r="A8">
        <f>IF([@Date_debut]="","",MONTH([@Date_debut]))</f>
        <v/>
      </c>
      <c r="B8" s="5" t="n"/>
      <c r="E8" s="4" t="n"/>
      <c r="G8">
        <f>IF([@Regime]="","",_xlfn.XLOOKUP([@Regime],tRegimes[Regime],tRegimes[Payeur],"⚠"))</f>
        <v/>
      </c>
      <c r="I8">
        <f>_xlfn.XLOOKUP([@Cotation],tTarif[Code_PEC],tTarif[PEC],"")</f>
        <v/>
      </c>
      <c r="J8" s="4" t="n"/>
      <c r="K8">
        <f>_xlfn.XLOOKUP([@DA],tDA[N_DA],tDA[Regime],"")</f>
        <v/>
      </c>
      <c r="L8">
        <f>_xlfn.XLOOKUP([@Code_recherche],tPatients[Recherche],tPatients[DN],"")</f>
        <v/>
      </c>
      <c r="M8">
        <f>_xlfn.XLOOKUP([@Code_recherche],tPatients[Recherche],tPatients[Nom],"")</f>
        <v/>
      </c>
      <c r="N8">
        <f>_xlfn.XLOOKUP([@Code_recherche],tPatients[Recherche],tPatients[Prenom],"")</f>
        <v/>
      </c>
      <c r="O8" s="5">
        <f>_xlfn.XLOOKUP([@Code_recherche],tPatients[Recherche],tPatients[Date_naissance],"")</f>
        <v/>
      </c>
      <c r="P8">
        <f>_xlfn.XLOOKUP([@Code_recherche],tPatients[Recherche],tPatients[Adresse],"")</f>
        <v/>
      </c>
      <c r="Q8">
        <f>_xlfn.XLOOKUP([@Code_recherche],tPatients[Recherche],tPatients[Commune],"")</f>
        <v/>
      </c>
      <c r="R8">
        <f>_xlfn.XLOOKUP([@Code_recherche],tPatients[Recherche],tPatients[N_tel],"")</f>
        <v/>
      </c>
      <c r="S8" s="5" t="n"/>
      <c r="T8" s="5" t="n"/>
      <c r="U8">
        <f>IF(OR([@DA]="",[@N_semaine]=""),"",COUNTIFS(CONSO_Presences[N_DA],[@DA],CONSO_Presences[Semaine],[@N_semaine],CONSO_Presences[Est_Present],TRUE))</f>
        <v/>
      </c>
      <c r="V8">
        <f>IF([@Cotation]="","",_xlfn.XLOOKUP([@Cotation],tTarif[Code_PEC],tTarif[Tarif_XPF],"⚠ tarif inconnu"))</f>
        <v/>
      </c>
      <c r="W8">
        <f>IF(OR([@Cotation]="",[@Nb_journees]="",[@Tarif_unitaire]="⚠ tarif inconnu"),"",[@Tarif_unitaire]*[@Nb_journees])</f>
        <v/>
      </c>
      <c r="Y8" s="5" t="n"/>
      <c r="Z8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8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9">
      <c r="A9">
        <f>IF([@Date_debut]="","",MONTH([@Date_debut]))</f>
        <v/>
      </c>
      <c r="B9" s="5" t="n"/>
      <c r="E9" s="4" t="n"/>
      <c r="G9">
        <f>IF([@Regime]="","",_xlfn.XLOOKUP([@Regime],tRegimes[Regime],tRegimes[Payeur],"⚠"))</f>
        <v/>
      </c>
      <c r="I9">
        <f>_xlfn.XLOOKUP([@Cotation],tTarif[Code_PEC],tTarif[PEC],"")</f>
        <v/>
      </c>
      <c r="J9" s="4" t="n"/>
      <c r="K9">
        <f>_xlfn.XLOOKUP([@DA],tDA[N_DA],tDA[Regime],"")</f>
        <v/>
      </c>
      <c r="L9">
        <f>_xlfn.XLOOKUP([@Code_recherche],tPatients[Recherche],tPatients[DN],"")</f>
        <v/>
      </c>
      <c r="M9">
        <f>_xlfn.XLOOKUP([@Code_recherche],tPatients[Recherche],tPatients[Nom],"")</f>
        <v/>
      </c>
      <c r="N9">
        <f>_xlfn.XLOOKUP([@Code_recherche],tPatients[Recherche],tPatients[Prenom],"")</f>
        <v/>
      </c>
      <c r="O9" s="5">
        <f>_xlfn.XLOOKUP([@Code_recherche],tPatients[Recherche],tPatients[Date_naissance],"")</f>
        <v/>
      </c>
      <c r="P9">
        <f>_xlfn.XLOOKUP([@Code_recherche],tPatients[Recherche],tPatients[Adresse],"")</f>
        <v/>
      </c>
      <c r="Q9">
        <f>_xlfn.XLOOKUP([@Code_recherche],tPatients[Recherche],tPatients[Commune],"")</f>
        <v/>
      </c>
      <c r="R9">
        <f>_xlfn.XLOOKUP([@Code_recherche],tPatients[Recherche],tPatients[N_tel],"")</f>
        <v/>
      </c>
      <c r="S9" s="5" t="n"/>
      <c r="T9" s="5" t="n"/>
      <c r="U9">
        <f>IF(OR([@DA]="",[@N_semaine]=""),"",COUNTIFS(CONSO_Presences[N_DA],[@DA],CONSO_Presences[Semaine],[@N_semaine],CONSO_Presences[Est_Present],TRUE))</f>
        <v/>
      </c>
      <c r="V9">
        <f>IF([@Cotation]="","",_xlfn.XLOOKUP([@Cotation],tTarif[Code_PEC],tTarif[Tarif_XPF],"⚠ tarif inconnu"))</f>
        <v/>
      </c>
      <c r="W9">
        <f>IF(OR([@Cotation]="",[@Nb_journees]="",[@Tarif_unitaire]="⚠ tarif inconnu"),"",[@Tarif_unitaire]*[@Nb_journees])</f>
        <v/>
      </c>
      <c r="Y9" s="5" t="n"/>
      <c r="Z9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9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10">
      <c r="A10">
        <f>IF([@Date_debut]="","",MONTH([@Date_debut]))</f>
        <v/>
      </c>
      <c r="B10" s="5" t="n"/>
      <c r="E10" s="4" t="n"/>
      <c r="G10">
        <f>IF([@Regime]="","",_xlfn.XLOOKUP([@Regime],tRegimes[Regime],tRegimes[Payeur],"⚠"))</f>
        <v/>
      </c>
      <c r="I10">
        <f>_xlfn.XLOOKUP([@Cotation],tTarif[Code_PEC],tTarif[PEC],"")</f>
        <v/>
      </c>
      <c r="J10" s="4" t="n"/>
      <c r="K10">
        <f>_xlfn.XLOOKUP([@DA],tDA[N_DA],tDA[Regime],"")</f>
        <v/>
      </c>
      <c r="L10">
        <f>_xlfn.XLOOKUP([@Code_recherche],tPatients[Recherche],tPatients[DN],"")</f>
        <v/>
      </c>
      <c r="M10">
        <f>_xlfn.XLOOKUP([@Code_recherche],tPatients[Recherche],tPatients[Nom],"")</f>
        <v/>
      </c>
      <c r="N10">
        <f>_xlfn.XLOOKUP([@Code_recherche],tPatients[Recherche],tPatients[Prenom],"")</f>
        <v/>
      </c>
      <c r="O10" s="5">
        <f>_xlfn.XLOOKUP([@Code_recherche],tPatients[Recherche],tPatients[Date_naissance],"")</f>
        <v/>
      </c>
      <c r="P10">
        <f>_xlfn.XLOOKUP([@Code_recherche],tPatients[Recherche],tPatients[Adresse],"")</f>
        <v/>
      </c>
      <c r="Q10">
        <f>_xlfn.XLOOKUP([@Code_recherche],tPatients[Recherche],tPatients[Commune],"")</f>
        <v/>
      </c>
      <c r="R10">
        <f>_xlfn.XLOOKUP([@Code_recherche],tPatients[Recherche],tPatients[N_tel],"")</f>
        <v/>
      </c>
      <c r="S10" s="5" t="n"/>
      <c r="T10" s="5" t="n"/>
      <c r="U10">
        <f>IF(OR([@DA]="",[@N_semaine]=""),"",COUNTIFS(CONSO_Presences[N_DA],[@DA],CONSO_Presences[Semaine],[@N_semaine],CONSO_Presences[Est_Present],TRUE))</f>
        <v/>
      </c>
      <c r="V10">
        <f>IF([@Cotation]="","",_xlfn.XLOOKUP([@Cotation],tTarif[Code_PEC],tTarif[Tarif_XPF],"⚠ tarif inconnu"))</f>
        <v/>
      </c>
      <c r="W10">
        <f>IF(OR([@Cotation]="",[@Nb_journees]="",[@Tarif_unitaire]="⚠ tarif inconnu"),"",[@Tarif_unitaire]*[@Nb_journees])</f>
        <v/>
      </c>
      <c r="Y10" s="5" t="n"/>
      <c r="Z10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10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11">
      <c r="A11">
        <f>IF([@Date_debut]="","",MONTH([@Date_debut]))</f>
        <v/>
      </c>
      <c r="B11" s="5" t="n"/>
      <c r="E11" s="4" t="n"/>
      <c r="G11">
        <f>IF([@Regime]="","",_xlfn.XLOOKUP([@Regime],tRegimes[Regime],tRegimes[Payeur],"⚠"))</f>
        <v/>
      </c>
      <c r="I11">
        <f>_xlfn.XLOOKUP([@Cotation],tTarif[Code_PEC],tTarif[PEC],"")</f>
        <v/>
      </c>
      <c r="J11" s="4" t="n"/>
      <c r="K11">
        <f>_xlfn.XLOOKUP([@DA],tDA[N_DA],tDA[Regime],"")</f>
        <v/>
      </c>
      <c r="L11">
        <f>_xlfn.XLOOKUP([@Code_recherche],tPatients[Recherche],tPatients[DN],"")</f>
        <v/>
      </c>
      <c r="M11">
        <f>_xlfn.XLOOKUP([@Code_recherche],tPatients[Recherche],tPatients[Nom],"")</f>
        <v/>
      </c>
      <c r="N11">
        <f>_xlfn.XLOOKUP([@Code_recherche],tPatients[Recherche],tPatients[Prenom],"")</f>
        <v/>
      </c>
      <c r="O11" s="5">
        <f>_xlfn.XLOOKUP([@Code_recherche],tPatients[Recherche],tPatients[Date_naissance],"")</f>
        <v/>
      </c>
      <c r="P11">
        <f>_xlfn.XLOOKUP([@Code_recherche],tPatients[Recherche],tPatients[Adresse],"")</f>
        <v/>
      </c>
      <c r="Q11">
        <f>_xlfn.XLOOKUP([@Code_recherche],tPatients[Recherche],tPatients[Commune],"")</f>
        <v/>
      </c>
      <c r="R11">
        <f>_xlfn.XLOOKUP([@Code_recherche],tPatients[Recherche],tPatients[N_tel],"")</f>
        <v/>
      </c>
      <c r="S11" s="5" t="n"/>
      <c r="T11" s="5" t="n"/>
      <c r="U11">
        <f>IF(OR([@DA]="",[@N_semaine]=""),"",COUNTIFS(CONSO_Presences[N_DA],[@DA],CONSO_Presences[Semaine],[@N_semaine],CONSO_Presences[Est_Present],TRUE))</f>
        <v/>
      </c>
      <c r="V11">
        <f>IF([@Cotation]="","",_xlfn.XLOOKUP([@Cotation],tTarif[Code_PEC],tTarif[Tarif_XPF],"⚠ tarif inconnu"))</f>
        <v/>
      </c>
      <c r="W11">
        <f>IF(OR([@Cotation]="",[@Nb_journees]="",[@Tarif_unitaire]="⚠ tarif inconnu"),"",[@Tarif_unitaire]*[@Nb_journees])</f>
        <v/>
      </c>
      <c r="Y11" s="5" t="n"/>
      <c r="Z11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11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12">
      <c r="A12">
        <f>IF([@Date_debut]="","",MONTH([@Date_debut]))</f>
        <v/>
      </c>
      <c r="B12" s="5" t="n"/>
      <c r="E12" s="4" t="n"/>
      <c r="G12">
        <f>IF([@Regime]="","",_xlfn.XLOOKUP([@Regime],tRegimes[Regime],tRegimes[Payeur],"⚠"))</f>
        <v/>
      </c>
      <c r="I12">
        <f>_xlfn.XLOOKUP([@Cotation],tTarif[Code_PEC],tTarif[PEC],"")</f>
        <v/>
      </c>
      <c r="J12" s="4" t="n"/>
      <c r="K12">
        <f>_xlfn.XLOOKUP([@DA],tDA[N_DA],tDA[Regime],"")</f>
        <v/>
      </c>
      <c r="L12">
        <f>_xlfn.XLOOKUP([@Code_recherche],tPatients[Recherche],tPatients[DN],"")</f>
        <v/>
      </c>
      <c r="M12">
        <f>_xlfn.XLOOKUP([@Code_recherche],tPatients[Recherche],tPatients[Nom],"")</f>
        <v/>
      </c>
      <c r="N12">
        <f>_xlfn.XLOOKUP([@Code_recherche],tPatients[Recherche],tPatients[Prenom],"")</f>
        <v/>
      </c>
      <c r="O12" s="5">
        <f>_xlfn.XLOOKUP([@Code_recherche],tPatients[Recherche],tPatients[Date_naissance],"")</f>
        <v/>
      </c>
      <c r="P12">
        <f>_xlfn.XLOOKUP([@Code_recherche],tPatients[Recherche],tPatients[Adresse],"")</f>
        <v/>
      </c>
      <c r="Q12">
        <f>_xlfn.XLOOKUP([@Code_recherche],tPatients[Recherche],tPatients[Commune],"")</f>
        <v/>
      </c>
      <c r="R12">
        <f>_xlfn.XLOOKUP([@Code_recherche],tPatients[Recherche],tPatients[N_tel],"")</f>
        <v/>
      </c>
      <c r="S12" s="5" t="n"/>
      <c r="T12" s="5" t="n"/>
      <c r="U12">
        <f>IF(OR([@DA]="",[@N_semaine]=""),"",COUNTIFS(CONSO_Presences[N_DA],[@DA],CONSO_Presences[Semaine],[@N_semaine],CONSO_Presences[Est_Present],TRUE))</f>
        <v/>
      </c>
      <c r="V12">
        <f>IF([@Cotation]="","",_xlfn.XLOOKUP([@Cotation],tTarif[Code_PEC],tTarif[Tarif_XPF],"⚠ tarif inconnu"))</f>
        <v/>
      </c>
      <c r="W12">
        <f>IF(OR([@Cotation]="",[@Nb_journees]="",[@Tarif_unitaire]="⚠ tarif inconnu"),"",[@Tarif_unitaire]*[@Nb_journees])</f>
        <v/>
      </c>
      <c r="Y12" s="5" t="n"/>
      <c r="Z12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12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13">
      <c r="A13">
        <f>IF([@Date_debut]="","",MONTH([@Date_debut]))</f>
        <v/>
      </c>
      <c r="B13" s="5" t="n"/>
      <c r="E13" s="4" t="n"/>
      <c r="G13">
        <f>IF([@Regime]="","",_xlfn.XLOOKUP([@Regime],tRegimes[Regime],tRegimes[Payeur],"⚠"))</f>
        <v/>
      </c>
      <c r="I13">
        <f>_xlfn.XLOOKUP([@Cotation],tTarif[Code_PEC],tTarif[PEC],"")</f>
        <v/>
      </c>
      <c r="J13" s="4" t="n"/>
      <c r="K13">
        <f>_xlfn.XLOOKUP([@DA],tDA[N_DA],tDA[Regime],"")</f>
        <v/>
      </c>
      <c r="L13">
        <f>_xlfn.XLOOKUP([@Code_recherche],tPatients[Recherche],tPatients[DN],"")</f>
        <v/>
      </c>
      <c r="M13">
        <f>_xlfn.XLOOKUP([@Code_recherche],tPatients[Recherche],tPatients[Nom],"")</f>
        <v/>
      </c>
      <c r="N13">
        <f>_xlfn.XLOOKUP([@Code_recherche],tPatients[Recherche],tPatients[Prenom],"")</f>
        <v/>
      </c>
      <c r="O13" s="5">
        <f>_xlfn.XLOOKUP([@Code_recherche],tPatients[Recherche],tPatients[Date_naissance],"")</f>
        <v/>
      </c>
      <c r="P13">
        <f>_xlfn.XLOOKUP([@Code_recherche],tPatients[Recherche],tPatients[Adresse],"")</f>
        <v/>
      </c>
      <c r="Q13">
        <f>_xlfn.XLOOKUP([@Code_recherche],tPatients[Recherche],tPatients[Commune],"")</f>
        <v/>
      </c>
      <c r="R13">
        <f>_xlfn.XLOOKUP([@Code_recherche],tPatients[Recherche],tPatients[N_tel],"")</f>
        <v/>
      </c>
      <c r="S13" s="5" t="n"/>
      <c r="T13" s="5" t="n"/>
      <c r="U13">
        <f>IF(OR([@DA]="",[@N_semaine]=""),"",COUNTIFS(CONSO_Presences[N_DA],[@DA],CONSO_Presences[Semaine],[@N_semaine],CONSO_Presences[Est_Present],TRUE))</f>
        <v/>
      </c>
      <c r="V13">
        <f>IF([@Cotation]="","",_xlfn.XLOOKUP([@Cotation],tTarif[Code_PEC],tTarif[Tarif_XPF],"⚠ tarif inconnu"))</f>
        <v/>
      </c>
      <c r="W13">
        <f>IF(OR([@Cotation]="",[@Nb_journees]="",[@Tarif_unitaire]="⚠ tarif inconnu"),"",[@Tarif_unitaire]*[@Nb_journees])</f>
        <v/>
      </c>
      <c r="Y13" s="5" t="n"/>
      <c r="Z13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13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14">
      <c r="A14">
        <f>IF([@Date_debut]="","",MONTH([@Date_debut]))</f>
        <v/>
      </c>
      <c r="B14" s="5" t="n"/>
      <c r="E14" s="4" t="n"/>
      <c r="G14">
        <f>IF([@Regime]="","",_xlfn.XLOOKUP([@Regime],tRegimes[Regime],tRegimes[Payeur],"⚠"))</f>
        <v/>
      </c>
      <c r="I14">
        <f>_xlfn.XLOOKUP([@Cotation],tTarif[Code_PEC],tTarif[PEC],"")</f>
        <v/>
      </c>
      <c r="J14" s="4" t="n"/>
      <c r="K14">
        <f>_xlfn.XLOOKUP([@DA],tDA[N_DA],tDA[Regime],"")</f>
        <v/>
      </c>
      <c r="L14">
        <f>_xlfn.XLOOKUP([@Code_recherche],tPatients[Recherche],tPatients[DN],"")</f>
        <v/>
      </c>
      <c r="M14">
        <f>_xlfn.XLOOKUP([@Code_recherche],tPatients[Recherche],tPatients[Nom],"")</f>
        <v/>
      </c>
      <c r="N14">
        <f>_xlfn.XLOOKUP([@Code_recherche],tPatients[Recherche],tPatients[Prenom],"")</f>
        <v/>
      </c>
      <c r="O14" s="5">
        <f>_xlfn.XLOOKUP([@Code_recherche],tPatients[Recherche],tPatients[Date_naissance],"")</f>
        <v/>
      </c>
      <c r="P14">
        <f>_xlfn.XLOOKUP([@Code_recherche],tPatients[Recherche],tPatients[Adresse],"")</f>
        <v/>
      </c>
      <c r="Q14">
        <f>_xlfn.XLOOKUP([@Code_recherche],tPatients[Recherche],tPatients[Commune],"")</f>
        <v/>
      </c>
      <c r="R14">
        <f>_xlfn.XLOOKUP([@Code_recherche],tPatients[Recherche],tPatients[N_tel],"")</f>
        <v/>
      </c>
      <c r="S14" s="5" t="n"/>
      <c r="T14" s="5" t="n"/>
      <c r="U14">
        <f>IF(OR([@DA]="",[@N_semaine]=""),"",COUNTIFS(CONSO_Presences[N_DA],[@DA],CONSO_Presences[Semaine],[@N_semaine],CONSO_Presences[Est_Present],TRUE))</f>
        <v/>
      </c>
      <c r="V14">
        <f>IF([@Cotation]="","",_xlfn.XLOOKUP([@Cotation],tTarif[Code_PEC],tTarif[Tarif_XPF],"⚠ tarif inconnu"))</f>
        <v/>
      </c>
      <c r="W14">
        <f>IF(OR([@Cotation]="",[@Nb_journees]="",[@Tarif_unitaire]="⚠ tarif inconnu"),"",[@Tarif_unitaire]*[@Nb_journees])</f>
        <v/>
      </c>
      <c r="Y14" s="5" t="n"/>
      <c r="Z14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14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15">
      <c r="A15">
        <f>IF([@Date_debut]="","",MONTH([@Date_debut]))</f>
        <v/>
      </c>
      <c r="B15" s="5" t="n"/>
      <c r="E15" s="4" t="n"/>
      <c r="G15">
        <f>IF([@Regime]="","",_xlfn.XLOOKUP([@Regime],tRegimes[Regime],tRegimes[Payeur],"⚠"))</f>
        <v/>
      </c>
      <c r="I15">
        <f>_xlfn.XLOOKUP([@Cotation],tTarif[Code_PEC],tTarif[PEC],"")</f>
        <v/>
      </c>
      <c r="J15" s="4" t="n"/>
      <c r="K15">
        <f>_xlfn.XLOOKUP([@DA],tDA[N_DA],tDA[Regime],"")</f>
        <v/>
      </c>
      <c r="L15">
        <f>_xlfn.XLOOKUP([@Code_recherche],tPatients[Recherche],tPatients[DN],"")</f>
        <v/>
      </c>
      <c r="M15">
        <f>_xlfn.XLOOKUP([@Code_recherche],tPatients[Recherche],tPatients[Nom],"")</f>
        <v/>
      </c>
      <c r="N15">
        <f>_xlfn.XLOOKUP([@Code_recherche],tPatients[Recherche],tPatients[Prenom],"")</f>
        <v/>
      </c>
      <c r="O15" s="5">
        <f>_xlfn.XLOOKUP([@Code_recherche],tPatients[Recherche],tPatients[Date_naissance],"")</f>
        <v/>
      </c>
      <c r="P15">
        <f>_xlfn.XLOOKUP([@Code_recherche],tPatients[Recherche],tPatients[Adresse],"")</f>
        <v/>
      </c>
      <c r="Q15">
        <f>_xlfn.XLOOKUP([@Code_recherche],tPatients[Recherche],tPatients[Commune],"")</f>
        <v/>
      </c>
      <c r="R15">
        <f>_xlfn.XLOOKUP([@Code_recherche],tPatients[Recherche],tPatients[N_tel],"")</f>
        <v/>
      </c>
      <c r="S15" s="5" t="n"/>
      <c r="T15" s="5" t="n"/>
      <c r="U15">
        <f>IF(OR([@DA]="",[@N_semaine]=""),"",COUNTIFS(CONSO_Presences[N_DA],[@DA],CONSO_Presences[Semaine],[@N_semaine],CONSO_Presences[Est_Present],TRUE))</f>
        <v/>
      </c>
      <c r="V15">
        <f>IF([@Cotation]="","",_xlfn.XLOOKUP([@Cotation],tTarif[Code_PEC],tTarif[Tarif_XPF],"⚠ tarif inconnu"))</f>
        <v/>
      </c>
      <c r="W15">
        <f>IF(OR([@Cotation]="",[@Nb_journees]="",[@Tarif_unitaire]="⚠ tarif inconnu"),"",[@Tarif_unitaire]*[@Nb_journees])</f>
        <v/>
      </c>
      <c r="Y15" s="5" t="n"/>
      <c r="Z15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15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16">
      <c r="A16">
        <f>IF([@Date_debut]="","",MONTH([@Date_debut]))</f>
        <v/>
      </c>
      <c r="B16" s="5" t="n"/>
      <c r="E16" s="4" t="n"/>
      <c r="G16">
        <f>IF([@Regime]="","",_xlfn.XLOOKUP([@Regime],tRegimes[Regime],tRegimes[Payeur],"⚠"))</f>
        <v/>
      </c>
      <c r="I16">
        <f>_xlfn.XLOOKUP([@Cotation],tTarif[Code_PEC],tTarif[PEC],"")</f>
        <v/>
      </c>
      <c r="J16" s="4" t="n"/>
      <c r="K16">
        <f>_xlfn.XLOOKUP([@DA],tDA[N_DA],tDA[Regime],"")</f>
        <v/>
      </c>
      <c r="L16">
        <f>_xlfn.XLOOKUP([@Code_recherche],tPatients[Recherche],tPatients[DN],"")</f>
        <v/>
      </c>
      <c r="M16">
        <f>_xlfn.XLOOKUP([@Code_recherche],tPatients[Recherche],tPatients[Nom],"")</f>
        <v/>
      </c>
      <c r="N16">
        <f>_xlfn.XLOOKUP([@Code_recherche],tPatients[Recherche],tPatients[Prenom],"")</f>
        <v/>
      </c>
      <c r="O16" s="5">
        <f>_xlfn.XLOOKUP([@Code_recherche],tPatients[Recherche],tPatients[Date_naissance],"")</f>
        <v/>
      </c>
      <c r="P16">
        <f>_xlfn.XLOOKUP([@Code_recherche],tPatients[Recherche],tPatients[Adresse],"")</f>
        <v/>
      </c>
      <c r="Q16">
        <f>_xlfn.XLOOKUP([@Code_recherche],tPatients[Recherche],tPatients[Commune],"")</f>
        <v/>
      </c>
      <c r="R16">
        <f>_xlfn.XLOOKUP([@Code_recherche],tPatients[Recherche],tPatients[N_tel],"")</f>
        <v/>
      </c>
      <c r="S16" s="5" t="n"/>
      <c r="T16" s="5" t="n"/>
      <c r="U16">
        <f>IF(OR([@DA]="",[@N_semaine]=""),"",COUNTIFS(CONSO_Presences[N_DA],[@DA],CONSO_Presences[Semaine],[@N_semaine],CONSO_Presences[Est_Present],TRUE))</f>
        <v/>
      </c>
      <c r="V16">
        <f>IF([@Cotation]="","",_xlfn.XLOOKUP([@Cotation],tTarif[Code_PEC],tTarif[Tarif_XPF],"⚠ tarif inconnu"))</f>
        <v/>
      </c>
      <c r="W16">
        <f>IF(OR([@Cotation]="",[@Nb_journees]="",[@Tarif_unitaire]="⚠ tarif inconnu"),"",[@Tarif_unitaire]*[@Nb_journees])</f>
        <v/>
      </c>
      <c r="Y16" s="5" t="n"/>
      <c r="Z16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16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17">
      <c r="A17">
        <f>IF([@Date_debut]="","",MONTH([@Date_debut]))</f>
        <v/>
      </c>
      <c r="B17" s="5" t="n"/>
      <c r="E17" s="4" t="n"/>
      <c r="G17">
        <f>IF([@Regime]="","",_xlfn.XLOOKUP([@Regime],tRegimes[Regime],tRegimes[Payeur],"⚠"))</f>
        <v/>
      </c>
      <c r="I17">
        <f>_xlfn.XLOOKUP([@Cotation],tTarif[Code_PEC],tTarif[PEC],"")</f>
        <v/>
      </c>
      <c r="J17" s="4" t="n"/>
      <c r="K17">
        <f>_xlfn.XLOOKUP([@DA],tDA[N_DA],tDA[Regime],"")</f>
        <v/>
      </c>
      <c r="L17">
        <f>_xlfn.XLOOKUP([@Code_recherche],tPatients[Recherche],tPatients[DN],"")</f>
        <v/>
      </c>
      <c r="M17">
        <f>_xlfn.XLOOKUP([@Code_recherche],tPatients[Recherche],tPatients[Nom],"")</f>
        <v/>
      </c>
      <c r="N17">
        <f>_xlfn.XLOOKUP([@Code_recherche],tPatients[Recherche],tPatients[Prenom],"")</f>
        <v/>
      </c>
      <c r="O17" s="5">
        <f>_xlfn.XLOOKUP([@Code_recherche],tPatients[Recherche],tPatients[Date_naissance],"")</f>
        <v/>
      </c>
      <c r="P17">
        <f>_xlfn.XLOOKUP([@Code_recherche],tPatients[Recherche],tPatients[Adresse],"")</f>
        <v/>
      </c>
      <c r="Q17">
        <f>_xlfn.XLOOKUP([@Code_recherche],tPatients[Recherche],tPatients[Commune],"")</f>
        <v/>
      </c>
      <c r="R17">
        <f>_xlfn.XLOOKUP([@Code_recherche],tPatients[Recherche],tPatients[N_tel],"")</f>
        <v/>
      </c>
      <c r="S17" s="5" t="n"/>
      <c r="T17" s="5" t="n"/>
      <c r="U17">
        <f>IF(OR([@DA]="",[@N_semaine]=""),"",COUNTIFS(CONSO_Presences[N_DA],[@DA],CONSO_Presences[Semaine],[@N_semaine],CONSO_Presences[Est_Present],TRUE))</f>
        <v/>
      </c>
      <c r="V17">
        <f>IF([@Cotation]="","",_xlfn.XLOOKUP([@Cotation],tTarif[Code_PEC],tTarif[Tarif_XPF],"⚠ tarif inconnu"))</f>
        <v/>
      </c>
      <c r="W17">
        <f>IF(OR([@Cotation]="",[@Nb_journees]="",[@Tarif_unitaire]="⚠ tarif inconnu"),"",[@Tarif_unitaire]*[@Nb_journees])</f>
        <v/>
      </c>
      <c r="Y17" s="5" t="n"/>
      <c r="Z17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17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18">
      <c r="A18">
        <f>IF([@Date_debut]="","",MONTH([@Date_debut]))</f>
        <v/>
      </c>
      <c r="B18" s="5" t="n"/>
      <c r="E18" s="4" t="n"/>
      <c r="G18">
        <f>IF([@Regime]="","",_xlfn.XLOOKUP([@Regime],tRegimes[Regime],tRegimes[Payeur],"⚠"))</f>
        <v/>
      </c>
      <c r="I18">
        <f>_xlfn.XLOOKUP([@Cotation],tTarif[Code_PEC],tTarif[PEC],"")</f>
        <v/>
      </c>
      <c r="J18" s="4" t="n"/>
      <c r="K18">
        <f>_xlfn.XLOOKUP([@DA],tDA[N_DA],tDA[Regime],"")</f>
        <v/>
      </c>
      <c r="L18">
        <f>_xlfn.XLOOKUP([@Code_recherche],tPatients[Recherche],tPatients[DN],"")</f>
        <v/>
      </c>
      <c r="M18">
        <f>_xlfn.XLOOKUP([@Code_recherche],tPatients[Recherche],tPatients[Nom],"")</f>
        <v/>
      </c>
      <c r="N18">
        <f>_xlfn.XLOOKUP([@Code_recherche],tPatients[Recherche],tPatients[Prenom],"")</f>
        <v/>
      </c>
      <c r="O18" s="5">
        <f>_xlfn.XLOOKUP([@Code_recherche],tPatients[Recherche],tPatients[Date_naissance],"")</f>
        <v/>
      </c>
      <c r="P18">
        <f>_xlfn.XLOOKUP([@Code_recherche],tPatients[Recherche],tPatients[Adresse],"")</f>
        <v/>
      </c>
      <c r="Q18">
        <f>_xlfn.XLOOKUP([@Code_recherche],tPatients[Recherche],tPatients[Commune],"")</f>
        <v/>
      </c>
      <c r="R18">
        <f>_xlfn.XLOOKUP([@Code_recherche],tPatients[Recherche],tPatients[N_tel],"")</f>
        <v/>
      </c>
      <c r="S18" s="5" t="n"/>
      <c r="T18" s="5" t="n"/>
      <c r="U18">
        <f>IF(OR([@DA]="",[@N_semaine]=""),"",COUNTIFS(CONSO_Presences[N_DA],[@DA],CONSO_Presences[Semaine],[@N_semaine],CONSO_Presences[Est_Present],TRUE))</f>
        <v/>
      </c>
      <c r="V18">
        <f>IF([@Cotation]="","",_xlfn.XLOOKUP([@Cotation],tTarif[Code_PEC],tTarif[Tarif_XPF],"⚠ tarif inconnu"))</f>
        <v/>
      </c>
      <c r="W18">
        <f>IF(OR([@Cotation]="",[@Nb_journees]="",[@Tarif_unitaire]="⚠ tarif inconnu"),"",[@Tarif_unitaire]*[@Nb_journees])</f>
        <v/>
      </c>
      <c r="Y18" s="5" t="n"/>
      <c r="Z18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18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19">
      <c r="A19">
        <f>IF([@Date_debut]="","",MONTH([@Date_debut]))</f>
        <v/>
      </c>
      <c r="B19" s="5" t="n"/>
      <c r="E19" s="4" t="n"/>
      <c r="G19">
        <f>IF([@Regime]="","",_xlfn.XLOOKUP([@Regime],tRegimes[Regime],tRegimes[Payeur],"⚠"))</f>
        <v/>
      </c>
      <c r="I19">
        <f>_xlfn.XLOOKUP([@Cotation],tTarif[Code_PEC],tTarif[PEC],"")</f>
        <v/>
      </c>
      <c r="J19" s="4" t="n"/>
      <c r="K19">
        <f>_xlfn.XLOOKUP([@DA],tDA[N_DA],tDA[Regime],"")</f>
        <v/>
      </c>
      <c r="L19">
        <f>_xlfn.XLOOKUP([@Code_recherche],tPatients[Recherche],tPatients[DN],"")</f>
        <v/>
      </c>
      <c r="M19">
        <f>_xlfn.XLOOKUP([@Code_recherche],tPatients[Recherche],tPatients[Nom],"")</f>
        <v/>
      </c>
      <c r="N19">
        <f>_xlfn.XLOOKUP([@Code_recherche],tPatients[Recherche],tPatients[Prenom],"")</f>
        <v/>
      </c>
      <c r="O19" s="5">
        <f>_xlfn.XLOOKUP([@Code_recherche],tPatients[Recherche],tPatients[Date_naissance],"")</f>
        <v/>
      </c>
      <c r="P19">
        <f>_xlfn.XLOOKUP([@Code_recherche],tPatients[Recherche],tPatients[Adresse],"")</f>
        <v/>
      </c>
      <c r="Q19">
        <f>_xlfn.XLOOKUP([@Code_recherche],tPatients[Recherche],tPatients[Commune],"")</f>
        <v/>
      </c>
      <c r="R19">
        <f>_xlfn.XLOOKUP([@Code_recherche],tPatients[Recherche],tPatients[N_tel],"")</f>
        <v/>
      </c>
      <c r="S19" s="5" t="n"/>
      <c r="T19" s="5" t="n"/>
      <c r="U19">
        <f>IF(OR([@DA]="",[@N_semaine]=""),"",COUNTIFS(CONSO_Presences[N_DA],[@DA],CONSO_Presences[Semaine],[@N_semaine],CONSO_Presences[Est_Present],TRUE))</f>
        <v/>
      </c>
      <c r="V19">
        <f>IF([@Cotation]="","",_xlfn.XLOOKUP([@Cotation],tTarif[Code_PEC],tTarif[Tarif_XPF],"⚠ tarif inconnu"))</f>
        <v/>
      </c>
      <c r="W19">
        <f>IF(OR([@Cotation]="",[@Nb_journees]="",[@Tarif_unitaire]="⚠ tarif inconnu"),"",[@Tarif_unitaire]*[@Nb_journees])</f>
        <v/>
      </c>
      <c r="Y19" s="5" t="n"/>
      <c r="Z19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19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20">
      <c r="A20">
        <f>IF([@Date_debut]="","",MONTH([@Date_debut]))</f>
        <v/>
      </c>
      <c r="B20" s="5" t="n"/>
      <c r="E20" s="4" t="n"/>
      <c r="G20">
        <f>IF([@Regime]="","",_xlfn.XLOOKUP([@Regime],tRegimes[Regime],tRegimes[Payeur],"⚠"))</f>
        <v/>
      </c>
      <c r="I20">
        <f>_xlfn.XLOOKUP([@Cotation],tTarif[Code_PEC],tTarif[PEC],"")</f>
        <v/>
      </c>
      <c r="J20" s="4" t="n"/>
      <c r="K20">
        <f>_xlfn.XLOOKUP([@DA],tDA[N_DA],tDA[Regime],"")</f>
        <v/>
      </c>
      <c r="L20">
        <f>_xlfn.XLOOKUP([@Code_recherche],tPatients[Recherche],tPatients[DN],"")</f>
        <v/>
      </c>
      <c r="M20">
        <f>_xlfn.XLOOKUP([@Code_recherche],tPatients[Recherche],tPatients[Nom],"")</f>
        <v/>
      </c>
      <c r="N20">
        <f>_xlfn.XLOOKUP([@Code_recherche],tPatients[Recherche],tPatients[Prenom],"")</f>
        <v/>
      </c>
      <c r="O20" s="5">
        <f>_xlfn.XLOOKUP([@Code_recherche],tPatients[Recherche],tPatients[Date_naissance],"")</f>
        <v/>
      </c>
      <c r="P20">
        <f>_xlfn.XLOOKUP([@Code_recherche],tPatients[Recherche],tPatients[Adresse],"")</f>
        <v/>
      </c>
      <c r="Q20">
        <f>_xlfn.XLOOKUP([@Code_recherche],tPatients[Recherche],tPatients[Commune],"")</f>
        <v/>
      </c>
      <c r="R20">
        <f>_xlfn.XLOOKUP([@Code_recherche],tPatients[Recherche],tPatients[N_tel],"")</f>
        <v/>
      </c>
      <c r="S20" s="5" t="n"/>
      <c r="T20" s="5" t="n"/>
      <c r="U20">
        <f>IF(OR([@DA]="",[@N_semaine]=""),"",COUNTIFS(CONSO_Presences[N_DA],[@DA],CONSO_Presences[Semaine],[@N_semaine],CONSO_Presences[Est_Present],TRUE))</f>
        <v/>
      </c>
      <c r="V20">
        <f>IF([@Cotation]="","",_xlfn.XLOOKUP([@Cotation],tTarif[Code_PEC],tTarif[Tarif_XPF],"⚠ tarif inconnu"))</f>
        <v/>
      </c>
      <c r="W20">
        <f>IF(OR([@Cotation]="",[@Nb_journees]="",[@Tarif_unitaire]="⚠ tarif inconnu"),"",[@Tarif_unitaire]*[@Nb_journees])</f>
        <v/>
      </c>
      <c r="Y20" s="5" t="n"/>
      <c r="Z20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20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21">
      <c r="A21">
        <f>IF([@Date_debut]="","",MONTH([@Date_debut]))</f>
        <v/>
      </c>
      <c r="B21" s="5" t="n"/>
      <c r="E21" s="4" t="n"/>
      <c r="G21">
        <f>IF([@Regime]="","",_xlfn.XLOOKUP([@Regime],tRegimes[Regime],tRegimes[Payeur],"⚠"))</f>
        <v/>
      </c>
      <c r="I21">
        <f>_xlfn.XLOOKUP([@Cotation],tTarif[Code_PEC],tTarif[PEC],"")</f>
        <v/>
      </c>
      <c r="J21" s="4" t="n"/>
      <c r="K21">
        <f>_xlfn.XLOOKUP([@DA],tDA[N_DA],tDA[Regime],"")</f>
        <v/>
      </c>
      <c r="L21">
        <f>_xlfn.XLOOKUP([@Code_recherche],tPatients[Recherche],tPatients[DN],"")</f>
        <v/>
      </c>
      <c r="M21">
        <f>_xlfn.XLOOKUP([@Code_recherche],tPatients[Recherche],tPatients[Nom],"")</f>
        <v/>
      </c>
      <c r="N21">
        <f>_xlfn.XLOOKUP([@Code_recherche],tPatients[Recherche],tPatients[Prenom],"")</f>
        <v/>
      </c>
      <c r="O21" s="5">
        <f>_xlfn.XLOOKUP([@Code_recherche],tPatients[Recherche],tPatients[Date_naissance],"")</f>
        <v/>
      </c>
      <c r="P21">
        <f>_xlfn.XLOOKUP([@Code_recherche],tPatients[Recherche],tPatients[Adresse],"")</f>
        <v/>
      </c>
      <c r="Q21">
        <f>_xlfn.XLOOKUP([@Code_recherche],tPatients[Recherche],tPatients[Commune],"")</f>
        <v/>
      </c>
      <c r="R21">
        <f>_xlfn.XLOOKUP([@Code_recherche],tPatients[Recherche],tPatients[N_tel],"")</f>
        <v/>
      </c>
      <c r="S21" s="5" t="n"/>
      <c r="T21" s="5" t="n"/>
      <c r="U21">
        <f>IF(OR([@DA]="",[@N_semaine]=""),"",COUNTIFS(CONSO_Presences[N_DA],[@DA],CONSO_Presences[Semaine],[@N_semaine],CONSO_Presences[Est_Present],TRUE))</f>
        <v/>
      </c>
      <c r="V21">
        <f>IF([@Cotation]="","",_xlfn.XLOOKUP([@Cotation],tTarif[Code_PEC],tTarif[Tarif_XPF],"⚠ tarif inconnu"))</f>
        <v/>
      </c>
      <c r="W21">
        <f>IF(OR([@Cotation]="",[@Nb_journees]="",[@Tarif_unitaire]="⚠ tarif inconnu"),"",[@Tarif_unitaire]*[@Nb_journees])</f>
        <v/>
      </c>
      <c r="Y21" s="5" t="n"/>
      <c r="Z21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21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22">
      <c r="A22">
        <f>IF([@Date_debut]="","",MONTH([@Date_debut]))</f>
        <v/>
      </c>
      <c r="B22" s="5" t="n"/>
      <c r="E22" s="4" t="n"/>
      <c r="G22">
        <f>IF([@Regime]="","",_xlfn.XLOOKUP([@Regime],tRegimes[Regime],tRegimes[Payeur],"⚠"))</f>
        <v/>
      </c>
      <c r="I22">
        <f>_xlfn.XLOOKUP([@Cotation],tTarif[Code_PEC],tTarif[PEC],"")</f>
        <v/>
      </c>
      <c r="J22" s="4" t="n"/>
      <c r="K22">
        <f>_xlfn.XLOOKUP([@DA],tDA[N_DA],tDA[Regime],"")</f>
        <v/>
      </c>
      <c r="L22">
        <f>_xlfn.XLOOKUP([@Code_recherche],tPatients[Recherche],tPatients[DN],"")</f>
        <v/>
      </c>
      <c r="M22">
        <f>_xlfn.XLOOKUP([@Code_recherche],tPatients[Recherche],tPatients[Nom],"")</f>
        <v/>
      </c>
      <c r="N22">
        <f>_xlfn.XLOOKUP([@Code_recherche],tPatients[Recherche],tPatients[Prenom],"")</f>
        <v/>
      </c>
      <c r="O22" s="5">
        <f>_xlfn.XLOOKUP([@Code_recherche],tPatients[Recherche],tPatients[Date_naissance],"")</f>
        <v/>
      </c>
      <c r="P22">
        <f>_xlfn.XLOOKUP([@Code_recherche],tPatients[Recherche],tPatients[Adresse],"")</f>
        <v/>
      </c>
      <c r="Q22">
        <f>_xlfn.XLOOKUP([@Code_recherche],tPatients[Recherche],tPatients[Commune],"")</f>
        <v/>
      </c>
      <c r="R22">
        <f>_xlfn.XLOOKUP([@Code_recherche],tPatients[Recherche],tPatients[N_tel],"")</f>
        <v/>
      </c>
      <c r="S22" s="5" t="n"/>
      <c r="T22" s="5" t="n"/>
      <c r="U22">
        <f>IF(OR([@DA]="",[@N_semaine]=""),"",COUNTIFS(CONSO_Presences[N_DA],[@DA],CONSO_Presences[Semaine],[@N_semaine],CONSO_Presences[Est_Present],TRUE))</f>
        <v/>
      </c>
      <c r="V22">
        <f>IF([@Cotation]="","",_xlfn.XLOOKUP([@Cotation],tTarif[Code_PEC],tTarif[Tarif_XPF],"⚠ tarif inconnu"))</f>
        <v/>
      </c>
      <c r="W22">
        <f>IF(OR([@Cotation]="",[@Nb_journees]="",[@Tarif_unitaire]="⚠ tarif inconnu"),"",[@Tarif_unitaire]*[@Nb_journees])</f>
        <v/>
      </c>
      <c r="Y22" s="5" t="n"/>
      <c r="Z22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22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23">
      <c r="A23">
        <f>IF([@Date_debut]="","",MONTH([@Date_debut]))</f>
        <v/>
      </c>
      <c r="B23" s="5" t="n"/>
      <c r="E23" s="4" t="n"/>
      <c r="G23">
        <f>IF([@Regime]="","",_xlfn.XLOOKUP([@Regime],tRegimes[Regime],tRegimes[Payeur],"⚠"))</f>
        <v/>
      </c>
      <c r="I23">
        <f>_xlfn.XLOOKUP([@Cotation],tTarif[Code_PEC],tTarif[PEC],"")</f>
        <v/>
      </c>
      <c r="J23" s="4" t="n"/>
      <c r="K23">
        <f>_xlfn.XLOOKUP([@DA],tDA[N_DA],tDA[Regime],"")</f>
        <v/>
      </c>
      <c r="L23">
        <f>_xlfn.XLOOKUP([@Code_recherche],tPatients[Recherche],tPatients[DN],"")</f>
        <v/>
      </c>
      <c r="M23">
        <f>_xlfn.XLOOKUP([@Code_recherche],tPatients[Recherche],tPatients[Nom],"")</f>
        <v/>
      </c>
      <c r="N23">
        <f>_xlfn.XLOOKUP([@Code_recherche],tPatients[Recherche],tPatients[Prenom],"")</f>
        <v/>
      </c>
      <c r="O23" s="5">
        <f>_xlfn.XLOOKUP([@Code_recherche],tPatients[Recherche],tPatients[Date_naissance],"")</f>
        <v/>
      </c>
      <c r="P23">
        <f>_xlfn.XLOOKUP([@Code_recherche],tPatients[Recherche],tPatients[Adresse],"")</f>
        <v/>
      </c>
      <c r="Q23">
        <f>_xlfn.XLOOKUP([@Code_recherche],tPatients[Recherche],tPatients[Commune],"")</f>
        <v/>
      </c>
      <c r="R23">
        <f>_xlfn.XLOOKUP([@Code_recherche],tPatients[Recherche],tPatients[N_tel],"")</f>
        <v/>
      </c>
      <c r="S23" s="5" t="n"/>
      <c r="T23" s="5" t="n"/>
      <c r="U23">
        <f>IF(OR([@DA]="",[@N_semaine]=""),"",COUNTIFS(CONSO_Presences[N_DA],[@DA],CONSO_Presences[Semaine],[@N_semaine],CONSO_Presences[Est_Present],TRUE))</f>
        <v/>
      </c>
      <c r="V23">
        <f>IF([@Cotation]="","",_xlfn.XLOOKUP([@Cotation],tTarif[Code_PEC],tTarif[Tarif_XPF],"⚠ tarif inconnu"))</f>
        <v/>
      </c>
      <c r="W23">
        <f>IF(OR([@Cotation]="",[@Nb_journees]="",[@Tarif_unitaire]="⚠ tarif inconnu"),"",[@Tarif_unitaire]*[@Nb_journees])</f>
        <v/>
      </c>
      <c r="Y23" s="5" t="n"/>
      <c r="Z23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23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24">
      <c r="A24">
        <f>IF([@Date_debut]="","",MONTH([@Date_debut]))</f>
        <v/>
      </c>
      <c r="B24" s="5" t="n"/>
      <c r="E24" s="4" t="n"/>
      <c r="G24">
        <f>IF([@Regime]="","",_xlfn.XLOOKUP([@Regime],tRegimes[Regime],tRegimes[Payeur],"⚠"))</f>
        <v/>
      </c>
      <c r="I24">
        <f>_xlfn.XLOOKUP([@Cotation],tTarif[Code_PEC],tTarif[PEC],"")</f>
        <v/>
      </c>
      <c r="J24" s="4" t="n"/>
      <c r="K24">
        <f>_xlfn.XLOOKUP([@DA],tDA[N_DA],tDA[Regime],"")</f>
        <v/>
      </c>
      <c r="L24">
        <f>_xlfn.XLOOKUP([@Code_recherche],tPatients[Recherche],tPatients[DN],"")</f>
        <v/>
      </c>
      <c r="M24">
        <f>_xlfn.XLOOKUP([@Code_recherche],tPatients[Recherche],tPatients[Nom],"")</f>
        <v/>
      </c>
      <c r="N24">
        <f>_xlfn.XLOOKUP([@Code_recherche],tPatients[Recherche],tPatients[Prenom],"")</f>
        <v/>
      </c>
      <c r="O24" s="5">
        <f>_xlfn.XLOOKUP([@Code_recherche],tPatients[Recherche],tPatients[Date_naissance],"")</f>
        <v/>
      </c>
      <c r="P24">
        <f>_xlfn.XLOOKUP([@Code_recherche],tPatients[Recherche],tPatients[Adresse],"")</f>
        <v/>
      </c>
      <c r="Q24">
        <f>_xlfn.XLOOKUP([@Code_recherche],tPatients[Recherche],tPatients[Commune],"")</f>
        <v/>
      </c>
      <c r="R24">
        <f>_xlfn.XLOOKUP([@Code_recherche],tPatients[Recherche],tPatients[N_tel],"")</f>
        <v/>
      </c>
      <c r="S24" s="5" t="n"/>
      <c r="T24" s="5" t="n"/>
      <c r="U24">
        <f>IF(OR([@DA]="",[@N_semaine]=""),"",COUNTIFS(CONSO_Presences[N_DA],[@DA],CONSO_Presences[Semaine],[@N_semaine],CONSO_Presences[Est_Present],TRUE))</f>
        <v/>
      </c>
      <c r="V24">
        <f>IF([@Cotation]="","",_xlfn.XLOOKUP([@Cotation],tTarif[Code_PEC],tTarif[Tarif_XPF],"⚠ tarif inconnu"))</f>
        <v/>
      </c>
      <c r="W24">
        <f>IF(OR([@Cotation]="",[@Nb_journees]="",[@Tarif_unitaire]="⚠ tarif inconnu"),"",[@Tarif_unitaire]*[@Nb_journees])</f>
        <v/>
      </c>
      <c r="Y24" s="5" t="n"/>
      <c r="Z24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24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25">
      <c r="A25">
        <f>IF([@Date_debut]="","",MONTH([@Date_debut]))</f>
        <v/>
      </c>
      <c r="B25" s="5" t="n"/>
      <c r="E25" s="4" t="n"/>
      <c r="G25">
        <f>IF([@Regime]="","",_xlfn.XLOOKUP([@Regime],tRegimes[Regime],tRegimes[Payeur],"⚠"))</f>
        <v/>
      </c>
      <c r="I25">
        <f>_xlfn.XLOOKUP([@Cotation],tTarif[Code_PEC],tTarif[PEC],"")</f>
        <v/>
      </c>
      <c r="J25" s="4" t="n"/>
      <c r="K25">
        <f>_xlfn.XLOOKUP([@DA],tDA[N_DA],tDA[Regime],"")</f>
        <v/>
      </c>
      <c r="L25">
        <f>_xlfn.XLOOKUP([@Code_recherche],tPatients[Recherche],tPatients[DN],"")</f>
        <v/>
      </c>
      <c r="M25">
        <f>_xlfn.XLOOKUP([@Code_recherche],tPatients[Recherche],tPatients[Nom],"")</f>
        <v/>
      </c>
      <c r="N25">
        <f>_xlfn.XLOOKUP([@Code_recherche],tPatients[Recherche],tPatients[Prenom],"")</f>
        <v/>
      </c>
      <c r="O25" s="5">
        <f>_xlfn.XLOOKUP([@Code_recherche],tPatients[Recherche],tPatients[Date_naissance],"")</f>
        <v/>
      </c>
      <c r="P25">
        <f>_xlfn.XLOOKUP([@Code_recherche],tPatients[Recherche],tPatients[Adresse],"")</f>
        <v/>
      </c>
      <c r="Q25">
        <f>_xlfn.XLOOKUP([@Code_recherche],tPatients[Recherche],tPatients[Commune],"")</f>
        <v/>
      </c>
      <c r="R25">
        <f>_xlfn.XLOOKUP([@Code_recherche],tPatients[Recherche],tPatients[N_tel],"")</f>
        <v/>
      </c>
      <c r="S25" s="5" t="n"/>
      <c r="T25" s="5" t="n"/>
      <c r="U25">
        <f>IF(OR([@DA]="",[@N_semaine]=""),"",COUNTIFS(CONSO_Presences[N_DA],[@DA],CONSO_Presences[Semaine],[@N_semaine],CONSO_Presences[Est_Present],TRUE))</f>
        <v/>
      </c>
      <c r="V25">
        <f>IF([@Cotation]="","",_xlfn.XLOOKUP([@Cotation],tTarif[Code_PEC],tTarif[Tarif_XPF],"⚠ tarif inconnu"))</f>
        <v/>
      </c>
      <c r="W25">
        <f>IF(OR([@Cotation]="",[@Nb_journees]="",[@Tarif_unitaire]="⚠ tarif inconnu"),"",[@Tarif_unitaire]*[@Nb_journees])</f>
        <v/>
      </c>
      <c r="Y25" s="5" t="n"/>
      <c r="Z25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25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26">
      <c r="A26">
        <f>IF([@Date_debut]="","",MONTH([@Date_debut]))</f>
        <v/>
      </c>
      <c r="B26" s="5" t="n"/>
      <c r="E26" s="4" t="n"/>
      <c r="G26">
        <f>IF([@Regime]="","",_xlfn.XLOOKUP([@Regime],tRegimes[Regime],tRegimes[Payeur],"⚠"))</f>
        <v/>
      </c>
      <c r="I26">
        <f>_xlfn.XLOOKUP([@Cotation],tTarif[Code_PEC],tTarif[PEC],"")</f>
        <v/>
      </c>
      <c r="J26" s="4" t="n"/>
      <c r="K26">
        <f>_xlfn.XLOOKUP([@DA],tDA[N_DA],tDA[Regime],"")</f>
        <v/>
      </c>
      <c r="L26">
        <f>_xlfn.XLOOKUP([@Code_recherche],tPatients[Recherche],tPatients[DN],"")</f>
        <v/>
      </c>
      <c r="M26">
        <f>_xlfn.XLOOKUP([@Code_recherche],tPatients[Recherche],tPatients[Nom],"")</f>
        <v/>
      </c>
      <c r="N26">
        <f>_xlfn.XLOOKUP([@Code_recherche],tPatients[Recherche],tPatients[Prenom],"")</f>
        <v/>
      </c>
      <c r="O26" s="5">
        <f>_xlfn.XLOOKUP([@Code_recherche],tPatients[Recherche],tPatients[Date_naissance],"")</f>
        <v/>
      </c>
      <c r="P26">
        <f>_xlfn.XLOOKUP([@Code_recherche],tPatients[Recherche],tPatients[Adresse],"")</f>
        <v/>
      </c>
      <c r="Q26">
        <f>_xlfn.XLOOKUP([@Code_recherche],tPatients[Recherche],tPatients[Commune],"")</f>
        <v/>
      </c>
      <c r="R26">
        <f>_xlfn.XLOOKUP([@Code_recherche],tPatients[Recherche],tPatients[N_tel],"")</f>
        <v/>
      </c>
      <c r="S26" s="5" t="n"/>
      <c r="T26" s="5" t="n"/>
      <c r="U26">
        <f>IF(OR([@DA]="",[@N_semaine]=""),"",COUNTIFS(CONSO_Presences[N_DA],[@DA],CONSO_Presences[Semaine],[@N_semaine],CONSO_Presences[Est_Present],TRUE))</f>
        <v/>
      </c>
      <c r="V26">
        <f>IF([@Cotation]="","",_xlfn.XLOOKUP([@Cotation],tTarif[Code_PEC],tTarif[Tarif_XPF],"⚠ tarif inconnu"))</f>
        <v/>
      </c>
      <c r="W26">
        <f>IF(OR([@Cotation]="",[@Nb_journees]="",[@Tarif_unitaire]="⚠ tarif inconnu"),"",[@Tarif_unitaire]*[@Nb_journees])</f>
        <v/>
      </c>
      <c r="Y26" s="5" t="n"/>
      <c r="Z26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26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27">
      <c r="A27">
        <f>IF([@Date_debut]="","",MONTH([@Date_debut]))</f>
        <v/>
      </c>
      <c r="B27" s="5" t="n"/>
      <c r="E27" s="4" t="n"/>
      <c r="G27">
        <f>IF([@Regime]="","",_xlfn.XLOOKUP([@Regime],tRegimes[Regime],tRegimes[Payeur],"⚠"))</f>
        <v/>
      </c>
      <c r="I27">
        <f>_xlfn.XLOOKUP([@Cotation],tTarif[Code_PEC],tTarif[PEC],"")</f>
        <v/>
      </c>
      <c r="J27" s="4" t="n"/>
      <c r="K27">
        <f>_xlfn.XLOOKUP([@DA],tDA[N_DA],tDA[Regime],"")</f>
        <v/>
      </c>
      <c r="L27">
        <f>_xlfn.XLOOKUP([@Code_recherche],tPatients[Recherche],tPatients[DN],"")</f>
        <v/>
      </c>
      <c r="M27">
        <f>_xlfn.XLOOKUP([@Code_recherche],tPatients[Recherche],tPatients[Nom],"")</f>
        <v/>
      </c>
      <c r="N27">
        <f>_xlfn.XLOOKUP([@Code_recherche],tPatients[Recherche],tPatients[Prenom],"")</f>
        <v/>
      </c>
      <c r="O27" s="5">
        <f>_xlfn.XLOOKUP([@Code_recherche],tPatients[Recherche],tPatients[Date_naissance],"")</f>
        <v/>
      </c>
      <c r="P27">
        <f>_xlfn.XLOOKUP([@Code_recherche],tPatients[Recherche],tPatients[Adresse],"")</f>
        <v/>
      </c>
      <c r="Q27">
        <f>_xlfn.XLOOKUP([@Code_recherche],tPatients[Recherche],tPatients[Commune],"")</f>
        <v/>
      </c>
      <c r="R27">
        <f>_xlfn.XLOOKUP([@Code_recherche],tPatients[Recherche],tPatients[N_tel],"")</f>
        <v/>
      </c>
      <c r="S27" s="5" t="n"/>
      <c r="T27" s="5" t="n"/>
      <c r="U27">
        <f>IF(OR([@DA]="",[@N_semaine]=""),"",COUNTIFS(CONSO_Presences[N_DA],[@DA],CONSO_Presences[Semaine],[@N_semaine],CONSO_Presences[Est_Present],TRUE))</f>
        <v/>
      </c>
      <c r="V27">
        <f>IF([@Cotation]="","",_xlfn.XLOOKUP([@Cotation],tTarif[Code_PEC],tTarif[Tarif_XPF],"⚠ tarif inconnu"))</f>
        <v/>
      </c>
      <c r="W27">
        <f>IF(OR([@Cotation]="",[@Nb_journees]="",[@Tarif_unitaire]="⚠ tarif inconnu"),"",[@Tarif_unitaire]*[@Nb_journees])</f>
        <v/>
      </c>
      <c r="Y27" s="5" t="n"/>
      <c r="Z27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27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28">
      <c r="A28">
        <f>IF([@Date_debut]="","",MONTH([@Date_debut]))</f>
        <v/>
      </c>
      <c r="B28" s="5" t="n"/>
      <c r="E28" s="4" t="n"/>
      <c r="G28">
        <f>IF([@Regime]="","",_xlfn.XLOOKUP([@Regime],tRegimes[Regime],tRegimes[Payeur],"⚠"))</f>
        <v/>
      </c>
      <c r="I28">
        <f>_xlfn.XLOOKUP([@Cotation],tTarif[Code_PEC],tTarif[PEC],"")</f>
        <v/>
      </c>
      <c r="J28" s="4" t="n"/>
      <c r="K28">
        <f>_xlfn.XLOOKUP([@DA],tDA[N_DA],tDA[Regime],"")</f>
        <v/>
      </c>
      <c r="L28">
        <f>_xlfn.XLOOKUP([@Code_recherche],tPatients[Recherche],tPatients[DN],"")</f>
        <v/>
      </c>
      <c r="M28">
        <f>_xlfn.XLOOKUP([@Code_recherche],tPatients[Recherche],tPatients[Nom],"")</f>
        <v/>
      </c>
      <c r="N28">
        <f>_xlfn.XLOOKUP([@Code_recherche],tPatients[Recherche],tPatients[Prenom],"")</f>
        <v/>
      </c>
      <c r="O28" s="5">
        <f>_xlfn.XLOOKUP([@Code_recherche],tPatients[Recherche],tPatients[Date_naissance],"")</f>
        <v/>
      </c>
      <c r="P28">
        <f>_xlfn.XLOOKUP([@Code_recherche],tPatients[Recherche],tPatients[Adresse],"")</f>
        <v/>
      </c>
      <c r="Q28">
        <f>_xlfn.XLOOKUP([@Code_recherche],tPatients[Recherche],tPatients[Commune],"")</f>
        <v/>
      </c>
      <c r="R28">
        <f>_xlfn.XLOOKUP([@Code_recherche],tPatients[Recherche],tPatients[N_tel],"")</f>
        <v/>
      </c>
      <c r="S28" s="5" t="n"/>
      <c r="T28" s="5" t="n"/>
      <c r="U28">
        <f>IF(OR([@DA]="",[@N_semaine]=""),"",COUNTIFS(CONSO_Presences[N_DA],[@DA],CONSO_Presences[Semaine],[@N_semaine],CONSO_Presences[Est_Present],TRUE))</f>
        <v/>
      </c>
      <c r="V28">
        <f>IF([@Cotation]="","",_xlfn.XLOOKUP([@Cotation],tTarif[Code_PEC],tTarif[Tarif_XPF],"⚠ tarif inconnu"))</f>
        <v/>
      </c>
      <c r="W28">
        <f>IF(OR([@Cotation]="",[@Nb_journees]="",[@Tarif_unitaire]="⚠ tarif inconnu"),"",[@Tarif_unitaire]*[@Nb_journees])</f>
        <v/>
      </c>
      <c r="Y28" s="5" t="n"/>
      <c r="Z28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28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29">
      <c r="A29">
        <f>IF([@Date_debut]="","",MONTH([@Date_debut]))</f>
        <v/>
      </c>
      <c r="B29" s="5" t="n"/>
      <c r="E29" s="4" t="n"/>
      <c r="G29">
        <f>IF([@Regime]="","",_xlfn.XLOOKUP([@Regime],tRegimes[Regime],tRegimes[Payeur],"⚠"))</f>
        <v/>
      </c>
      <c r="I29">
        <f>_xlfn.XLOOKUP([@Cotation],tTarif[Code_PEC],tTarif[PEC],"")</f>
        <v/>
      </c>
      <c r="J29" s="4" t="n"/>
      <c r="K29">
        <f>_xlfn.XLOOKUP([@DA],tDA[N_DA],tDA[Regime],"")</f>
        <v/>
      </c>
      <c r="L29">
        <f>_xlfn.XLOOKUP([@Code_recherche],tPatients[Recherche],tPatients[DN],"")</f>
        <v/>
      </c>
      <c r="M29">
        <f>_xlfn.XLOOKUP([@Code_recherche],tPatients[Recherche],tPatients[Nom],"")</f>
        <v/>
      </c>
      <c r="N29">
        <f>_xlfn.XLOOKUP([@Code_recherche],tPatients[Recherche],tPatients[Prenom],"")</f>
        <v/>
      </c>
      <c r="O29" s="5">
        <f>_xlfn.XLOOKUP([@Code_recherche],tPatients[Recherche],tPatients[Date_naissance],"")</f>
        <v/>
      </c>
      <c r="P29">
        <f>_xlfn.XLOOKUP([@Code_recherche],tPatients[Recherche],tPatients[Adresse],"")</f>
        <v/>
      </c>
      <c r="Q29">
        <f>_xlfn.XLOOKUP([@Code_recherche],tPatients[Recherche],tPatients[Commune],"")</f>
        <v/>
      </c>
      <c r="R29">
        <f>_xlfn.XLOOKUP([@Code_recherche],tPatients[Recherche],tPatients[N_tel],"")</f>
        <v/>
      </c>
      <c r="S29" s="5" t="n"/>
      <c r="T29" s="5" t="n"/>
      <c r="U29">
        <f>IF(OR([@DA]="",[@N_semaine]=""),"",COUNTIFS(CONSO_Presences[N_DA],[@DA],CONSO_Presences[Semaine],[@N_semaine],CONSO_Presences[Est_Present],TRUE))</f>
        <v/>
      </c>
      <c r="V29">
        <f>IF([@Cotation]="","",_xlfn.XLOOKUP([@Cotation],tTarif[Code_PEC],tTarif[Tarif_XPF],"⚠ tarif inconnu"))</f>
        <v/>
      </c>
      <c r="W29">
        <f>IF(OR([@Cotation]="",[@Nb_journees]="",[@Tarif_unitaire]="⚠ tarif inconnu"),"",[@Tarif_unitaire]*[@Nb_journees])</f>
        <v/>
      </c>
      <c r="Y29" s="5" t="n"/>
      <c r="Z29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29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30">
      <c r="A30">
        <f>IF([@Date_debut]="","",MONTH([@Date_debut]))</f>
        <v/>
      </c>
      <c r="B30" s="5" t="n"/>
      <c r="E30" s="4" t="n"/>
      <c r="G30">
        <f>IF([@Regime]="","",_xlfn.XLOOKUP([@Regime],tRegimes[Regime],tRegimes[Payeur],"⚠"))</f>
        <v/>
      </c>
      <c r="I30">
        <f>_xlfn.XLOOKUP([@Cotation],tTarif[Code_PEC],tTarif[PEC],"")</f>
        <v/>
      </c>
      <c r="J30" s="4" t="n"/>
      <c r="K30">
        <f>_xlfn.XLOOKUP([@DA],tDA[N_DA],tDA[Regime],"")</f>
        <v/>
      </c>
      <c r="L30">
        <f>_xlfn.XLOOKUP([@Code_recherche],tPatients[Recherche],tPatients[DN],"")</f>
        <v/>
      </c>
      <c r="M30">
        <f>_xlfn.XLOOKUP([@Code_recherche],tPatients[Recherche],tPatients[Nom],"")</f>
        <v/>
      </c>
      <c r="N30">
        <f>_xlfn.XLOOKUP([@Code_recherche],tPatients[Recherche],tPatients[Prenom],"")</f>
        <v/>
      </c>
      <c r="O30" s="5">
        <f>_xlfn.XLOOKUP([@Code_recherche],tPatients[Recherche],tPatients[Date_naissance],"")</f>
        <v/>
      </c>
      <c r="P30">
        <f>_xlfn.XLOOKUP([@Code_recherche],tPatients[Recherche],tPatients[Adresse],"")</f>
        <v/>
      </c>
      <c r="Q30">
        <f>_xlfn.XLOOKUP([@Code_recherche],tPatients[Recherche],tPatients[Commune],"")</f>
        <v/>
      </c>
      <c r="R30">
        <f>_xlfn.XLOOKUP([@Code_recherche],tPatients[Recherche],tPatients[N_tel],"")</f>
        <v/>
      </c>
      <c r="S30" s="5" t="n"/>
      <c r="T30" s="5" t="n"/>
      <c r="U30">
        <f>IF(OR([@DA]="",[@N_semaine]=""),"",COUNTIFS(CONSO_Presences[N_DA],[@DA],CONSO_Presences[Semaine],[@N_semaine],CONSO_Presences[Est_Present],TRUE))</f>
        <v/>
      </c>
      <c r="V30">
        <f>IF([@Cotation]="","",_xlfn.XLOOKUP([@Cotation],tTarif[Code_PEC],tTarif[Tarif_XPF],"⚠ tarif inconnu"))</f>
        <v/>
      </c>
      <c r="W30">
        <f>IF(OR([@Cotation]="",[@Nb_journees]="",[@Tarif_unitaire]="⚠ tarif inconnu"),"",[@Tarif_unitaire]*[@Nb_journees])</f>
        <v/>
      </c>
      <c r="Y30" s="5" t="n"/>
      <c r="Z30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30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31">
      <c r="A31">
        <f>IF([@Date_debut]="","",MONTH([@Date_debut]))</f>
        <v/>
      </c>
      <c r="B31" s="5" t="n"/>
      <c r="E31" s="4" t="n"/>
      <c r="G31">
        <f>IF([@Regime]="","",_xlfn.XLOOKUP([@Regime],tRegimes[Regime],tRegimes[Payeur],"⚠"))</f>
        <v/>
      </c>
      <c r="I31">
        <f>_xlfn.XLOOKUP([@Cotation],tTarif[Code_PEC],tTarif[PEC],"")</f>
        <v/>
      </c>
      <c r="J31" s="4" t="n"/>
      <c r="K31">
        <f>_xlfn.XLOOKUP([@DA],tDA[N_DA],tDA[Regime],"")</f>
        <v/>
      </c>
      <c r="L31">
        <f>_xlfn.XLOOKUP([@Code_recherche],tPatients[Recherche],tPatients[DN],"")</f>
        <v/>
      </c>
      <c r="M31">
        <f>_xlfn.XLOOKUP([@Code_recherche],tPatients[Recherche],tPatients[Nom],"")</f>
        <v/>
      </c>
      <c r="N31">
        <f>_xlfn.XLOOKUP([@Code_recherche],tPatients[Recherche],tPatients[Prenom],"")</f>
        <v/>
      </c>
      <c r="O31" s="5">
        <f>_xlfn.XLOOKUP([@Code_recherche],tPatients[Recherche],tPatients[Date_naissance],"")</f>
        <v/>
      </c>
      <c r="P31">
        <f>_xlfn.XLOOKUP([@Code_recherche],tPatients[Recherche],tPatients[Adresse],"")</f>
        <v/>
      </c>
      <c r="Q31">
        <f>_xlfn.XLOOKUP([@Code_recherche],tPatients[Recherche],tPatients[Commune],"")</f>
        <v/>
      </c>
      <c r="R31">
        <f>_xlfn.XLOOKUP([@Code_recherche],tPatients[Recherche],tPatients[N_tel],"")</f>
        <v/>
      </c>
      <c r="S31" s="5" t="n"/>
      <c r="T31" s="5" t="n"/>
      <c r="U31">
        <f>IF(OR([@DA]="",[@N_semaine]=""),"",COUNTIFS(CONSO_Presences[N_DA],[@DA],CONSO_Presences[Semaine],[@N_semaine],CONSO_Presences[Est_Present],TRUE))</f>
        <v/>
      </c>
      <c r="V31">
        <f>IF([@Cotation]="","",_xlfn.XLOOKUP([@Cotation],tTarif[Code_PEC],tTarif[Tarif_XPF],"⚠ tarif inconnu"))</f>
        <v/>
      </c>
      <c r="W31">
        <f>IF(OR([@Cotation]="",[@Nb_journees]="",[@Tarif_unitaire]="⚠ tarif inconnu"),"",[@Tarif_unitaire]*[@Nb_journees])</f>
        <v/>
      </c>
      <c r="Y31" s="5" t="n"/>
      <c r="Z31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31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</sheetData>
  <conditionalFormatting sqref="A2:AA31">
    <cfRule type="expression" priority="1" dxfId="0">
      <formula>$X2&lt;&gt;""</formula>
    </cfRule>
    <cfRule type="expression" priority="2" dxfId="0">
      <formula>$V2="⚠ tarif inconnu"</formula>
    </cfRule>
  </conditionalFormatting>
  <dataValidations count="4">
    <dataValidation sqref="C2:C31" showDropDown="0" showInputMessage="0" showErrorMessage="0" allowBlank="1" type="list" errorStyle="stop">
      <formula1>=nrSemaine</formula1>
    </dataValidation>
    <dataValidation sqref="F2:F31" showDropDown="0" showInputMessage="0" showErrorMessage="0" allowBlank="1" errorTitle="Hors référentiel" error="Valeur hors liste — saisie autorisée, ligne signalée." type="list" errorStyle="warning">
      <formula1>=nrPatients</formula1>
    </dataValidation>
    <dataValidation sqref="H2:H31" showDropDown="0" showInputMessage="0" showErrorMessage="0" allowBlank="1" type="list" errorStyle="stop">
      <formula1>=nrCotations</formula1>
    </dataValidation>
    <dataValidation sqref="X2:X31" showDropDown="0" showInputMessage="0" showErrorMessage="0" allowBlank="1" type="list" errorStyle="stop">
      <formula1>=nrCategoriesRefus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No_Bordereau</t>
        </is>
      </c>
      <c r="B1" s="1" t="inlineStr">
        <is>
          <t>N_FACTURE</t>
        </is>
      </c>
      <c r="C1" s="1" t="inlineStr">
        <is>
          <t>DN</t>
        </is>
      </c>
      <c r="D1" s="1" t="inlineStr">
        <is>
          <t>Periode</t>
        </is>
      </c>
      <c r="E1" s="1" t="inlineStr">
        <is>
          <t>Nb_JRS</t>
        </is>
      </c>
      <c r="F1" s="1" t="inlineStr">
        <is>
          <t>Montant</t>
        </is>
      </c>
    </row>
    <row r="2">
      <c r="A2">
        <f>IF([@N_FACTURE]="","",ROW()-1)</f>
        <v/>
      </c>
      <c r="C2">
        <f>IF([@N_FACTURE]="","",_xlfn.XLOOKUP([@N_FACTURE],tSuiviFactures[N_DE_FACTURE],tSuiviFactures[DN],""))</f>
        <v/>
      </c>
      <c r="F2">
        <f>IF([@N_FACTURE]="","",SUMIFS(tSuiviFactures[Montant],tSuiviFactures[N_DE_FACTURE],[@N_FACTURE]))</f>
        <v/>
      </c>
    </row>
    <row r="3">
      <c r="A3">
        <f>IF([@N_FACTURE]="","",ROW()-1)</f>
        <v/>
      </c>
      <c r="C3">
        <f>IF([@N_FACTURE]="","",_xlfn.XLOOKUP([@N_FACTURE],tSuiviFactures[N_DE_FACTURE],tSuiviFactures[DN],""))</f>
        <v/>
      </c>
      <c r="F3">
        <f>IF([@N_FACTURE]="","",SUMIFS(tSuiviFactures[Montant],tSuiviFactures[N_DE_FACTURE],[@N_FACTURE]))</f>
        <v/>
      </c>
    </row>
    <row r="4">
      <c r="A4">
        <f>IF([@N_FACTURE]="","",ROW()-1)</f>
        <v/>
      </c>
      <c r="C4">
        <f>IF([@N_FACTURE]="","",_xlfn.XLOOKUP([@N_FACTURE],tSuiviFactures[N_DE_FACTURE],tSuiviFactures[DN],""))</f>
        <v/>
      </c>
      <c r="F4">
        <f>IF([@N_FACTURE]="","",SUMIFS(tSuiviFactures[Montant],tSuiviFactures[N_DE_FACTURE],[@N_FACTURE]))</f>
        <v/>
      </c>
    </row>
    <row r="5">
      <c r="A5">
        <f>IF([@N_FACTURE]="","",ROW()-1)</f>
        <v/>
      </c>
      <c r="C5">
        <f>IF([@N_FACTURE]="","",_xlfn.XLOOKUP([@N_FACTURE],tSuiviFactures[N_DE_FACTURE],tSuiviFactures[DN],""))</f>
        <v/>
      </c>
      <c r="F5">
        <f>IF([@N_FACTURE]="","",SUMIFS(tSuiviFactures[Montant],tSuiviFactures[N_DE_FACTURE],[@N_FACTURE]))</f>
        <v/>
      </c>
    </row>
    <row r="6">
      <c r="A6">
        <f>IF([@N_FACTURE]="","",ROW()-1)</f>
        <v/>
      </c>
      <c r="C6">
        <f>IF([@N_FACTURE]="","",_xlfn.XLOOKUP([@N_FACTURE],tSuiviFactures[N_DE_FACTURE],tSuiviFactures[DN],""))</f>
        <v/>
      </c>
      <c r="F6">
        <f>IF([@N_FACTURE]="","",SUMIFS(tSuiviFactures[Montant],tSuiviFactures[N_DE_FACTURE],[@N_FACTURE]))</f>
        <v/>
      </c>
    </row>
    <row r="7">
      <c r="A7">
        <f>IF([@N_FACTURE]="","",ROW()-1)</f>
        <v/>
      </c>
      <c r="C7">
        <f>IF([@N_FACTURE]="","",_xlfn.XLOOKUP([@N_FACTURE],tSuiviFactures[N_DE_FACTURE],tSuiviFactures[DN],""))</f>
        <v/>
      </c>
      <c r="F7">
        <f>IF([@N_FACTURE]="","",SUMIFS(tSuiviFactures[Montant],tSuiviFactures[N_DE_FACTURE],[@N_FACTURE]))</f>
        <v/>
      </c>
    </row>
    <row r="8">
      <c r="A8">
        <f>IF([@N_FACTURE]="","",ROW()-1)</f>
        <v/>
      </c>
      <c r="C8">
        <f>IF([@N_FACTURE]="","",_xlfn.XLOOKUP([@N_FACTURE],tSuiviFactures[N_DE_FACTURE],tSuiviFactures[DN],""))</f>
        <v/>
      </c>
      <c r="F8">
        <f>IF([@N_FACTURE]="","",SUMIFS(tSuiviFactures[Montant],tSuiviFactures[N_DE_FACTURE],[@N_FACTURE]))</f>
        <v/>
      </c>
    </row>
    <row r="9">
      <c r="A9">
        <f>IF([@N_FACTURE]="","",ROW()-1)</f>
        <v/>
      </c>
      <c r="C9">
        <f>IF([@N_FACTURE]="","",_xlfn.XLOOKUP([@N_FACTURE],tSuiviFactures[N_DE_FACTURE],tSuiviFactures[DN],""))</f>
        <v/>
      </c>
      <c r="F9">
        <f>IF([@N_FACTURE]="","",SUMIFS(tSuiviFactures[Montant],tSuiviFactures[N_DE_FACTURE],[@N_FACTURE]))</f>
        <v/>
      </c>
    </row>
    <row r="10">
      <c r="A10">
        <f>IF([@N_FACTURE]="","",ROW()-1)</f>
        <v/>
      </c>
      <c r="C10">
        <f>IF([@N_FACTURE]="","",_xlfn.XLOOKUP([@N_FACTURE],tSuiviFactures[N_DE_FACTURE],tSuiviFactures[DN],""))</f>
        <v/>
      </c>
      <c r="F10">
        <f>IF([@N_FACTURE]="","",SUMIFS(tSuiviFactures[Montant],tSuiviFactures[N_DE_FACTURE],[@N_FACTURE]))</f>
        <v/>
      </c>
    </row>
    <row r="11">
      <c r="A11">
        <f>IF([@N_FACTURE]="","",ROW()-1)</f>
        <v/>
      </c>
      <c r="C11">
        <f>IF([@N_FACTURE]="","",_xlfn.XLOOKUP([@N_FACTURE],tSuiviFactures[N_DE_FACTURE],tSuiviFactures[DN],""))</f>
        <v/>
      </c>
      <c r="F11">
        <f>IF([@N_FACTURE]="","",SUMIFS(tSuiviFactures[Montant],tSuiviFactures[N_DE_FACTURE],[@N_FACTURE]))</f>
        <v/>
      </c>
    </row>
    <row r="12">
      <c r="A12">
        <f>IF([@N_FACTURE]="","",ROW()-1)</f>
        <v/>
      </c>
      <c r="C12">
        <f>IF([@N_FACTURE]="","",_xlfn.XLOOKUP([@N_FACTURE],tSuiviFactures[N_DE_FACTURE],tSuiviFactures[DN],""))</f>
        <v/>
      </c>
      <c r="F12">
        <f>IF([@N_FACTURE]="","",SUMIFS(tSuiviFactures[Montant],tSuiviFactures[N_DE_FACTURE],[@N_FACTURE]))</f>
        <v/>
      </c>
    </row>
    <row r="13">
      <c r="A13">
        <f>IF([@N_FACTURE]="","",ROW()-1)</f>
        <v/>
      </c>
      <c r="C13">
        <f>IF([@N_FACTURE]="","",_xlfn.XLOOKUP([@N_FACTURE],tSuiviFactures[N_DE_FACTURE],tSuiviFactures[DN],""))</f>
        <v/>
      </c>
      <c r="F13">
        <f>IF([@N_FACTURE]="","",SUMIFS(tSuiviFactures[Montant],tSuiviFactures[N_DE_FACTURE],[@N_FACTURE]))</f>
        <v/>
      </c>
    </row>
    <row r="14">
      <c r="A14">
        <f>IF([@N_FACTURE]="","",ROW()-1)</f>
        <v/>
      </c>
      <c r="C14">
        <f>IF([@N_FACTURE]="","",_xlfn.XLOOKUP([@N_FACTURE],tSuiviFactures[N_DE_FACTURE],tSuiviFactures[DN],""))</f>
        <v/>
      </c>
      <c r="F14">
        <f>IF([@N_FACTURE]="","",SUMIFS(tSuiviFactures[Montant],tSuiviFactures[N_DE_FACTURE],[@N_FACTURE]))</f>
        <v/>
      </c>
    </row>
    <row r="15">
      <c r="A15">
        <f>IF([@N_FACTURE]="","",ROW()-1)</f>
        <v/>
      </c>
      <c r="C15">
        <f>IF([@N_FACTURE]="","",_xlfn.XLOOKUP([@N_FACTURE],tSuiviFactures[N_DE_FACTURE],tSuiviFactures[DN],""))</f>
        <v/>
      </c>
      <c r="F15">
        <f>IF([@N_FACTURE]="","",SUMIFS(tSuiviFactures[Montant],tSuiviFactures[N_DE_FACTURE],[@N_FACTURE]))</f>
        <v/>
      </c>
    </row>
    <row r="16">
      <c r="A16">
        <f>IF([@N_FACTURE]="","",ROW()-1)</f>
        <v/>
      </c>
      <c r="C16">
        <f>IF([@N_FACTURE]="","",_xlfn.XLOOKUP([@N_FACTURE],tSuiviFactures[N_DE_FACTURE],tSuiviFactures[DN],""))</f>
        <v/>
      </c>
      <c r="F16">
        <f>IF([@N_FACTURE]="","",SUMIFS(tSuiviFactures[Montant],tSuiviFactures[N_DE_FACTURE],[@N_FACTURE]))</f>
        <v/>
      </c>
    </row>
    <row r="17">
      <c r="A17">
        <f>IF([@N_FACTURE]="","",ROW()-1)</f>
        <v/>
      </c>
      <c r="C17">
        <f>IF([@N_FACTURE]="","",_xlfn.XLOOKUP([@N_FACTURE],tSuiviFactures[N_DE_FACTURE],tSuiviFactures[DN],""))</f>
        <v/>
      </c>
      <c r="F17">
        <f>IF([@N_FACTURE]="","",SUMIFS(tSuiviFactures[Montant],tSuiviFactures[N_DE_FACTURE],[@N_FACTURE]))</f>
        <v/>
      </c>
    </row>
    <row r="18">
      <c r="A18">
        <f>IF([@N_FACTURE]="","",ROW()-1)</f>
        <v/>
      </c>
      <c r="C18">
        <f>IF([@N_FACTURE]="","",_xlfn.XLOOKUP([@N_FACTURE],tSuiviFactures[N_DE_FACTURE],tSuiviFactures[DN],""))</f>
        <v/>
      </c>
      <c r="F18">
        <f>IF([@N_FACTURE]="","",SUMIFS(tSuiviFactures[Montant],tSuiviFactures[N_DE_FACTURE],[@N_FACTURE]))</f>
        <v/>
      </c>
    </row>
    <row r="19">
      <c r="A19">
        <f>IF([@N_FACTURE]="","",ROW()-1)</f>
        <v/>
      </c>
      <c r="C19">
        <f>IF([@N_FACTURE]="","",_xlfn.XLOOKUP([@N_FACTURE],tSuiviFactures[N_DE_FACTURE],tSuiviFactures[DN],""))</f>
        <v/>
      </c>
      <c r="F19">
        <f>IF([@N_FACTURE]="","",SUMIFS(tSuiviFactures[Montant],tSuiviFactures[N_DE_FACTURE],[@N_FACTURE]))</f>
        <v/>
      </c>
    </row>
    <row r="20">
      <c r="A20">
        <f>IF([@N_FACTURE]="","",ROW()-1)</f>
        <v/>
      </c>
      <c r="C20">
        <f>IF([@N_FACTURE]="","",_xlfn.XLOOKUP([@N_FACTURE],tSuiviFactures[N_DE_FACTURE],tSuiviFactures[DN],""))</f>
        <v/>
      </c>
      <c r="F20">
        <f>IF([@N_FACTURE]="","",SUMIFS(tSuiviFactures[Montant],tSuiviFactures[N_DE_FACTURE],[@N_FACTURE]))</f>
        <v/>
      </c>
    </row>
    <row r="21">
      <c r="A21">
        <f>IF([@N_FACTURE]="","",ROW()-1)</f>
        <v/>
      </c>
      <c r="C21">
        <f>IF([@N_FACTURE]="","",_xlfn.XLOOKUP([@N_FACTURE],tSuiviFactures[N_DE_FACTURE],tSuiviFactures[DN],""))</f>
        <v/>
      </c>
      <c r="F21">
        <f>IF([@N_FACTURE]="","",SUMIFS(tSuiviFactures[Montant],tSuiviFactures[N_DE_FACTURE],[@N_FACTURE]))</f>
        <v/>
      </c>
    </row>
    <row r="22">
      <c r="A22">
        <f>IF([@N_FACTURE]="","",ROW()-1)</f>
        <v/>
      </c>
      <c r="C22">
        <f>IF([@N_FACTURE]="","",_xlfn.XLOOKUP([@N_FACTURE],tSuiviFactures[N_DE_FACTURE],tSuiviFactures[DN],""))</f>
        <v/>
      </c>
      <c r="F22">
        <f>IF([@N_FACTURE]="","",SUMIFS(tSuiviFactures[Montant],tSuiviFactures[N_DE_FACTURE],[@N_FACTURE]))</f>
        <v/>
      </c>
    </row>
    <row r="23">
      <c r="A23">
        <f>IF([@N_FACTURE]="","",ROW()-1)</f>
        <v/>
      </c>
      <c r="C23">
        <f>IF([@N_FACTURE]="","",_xlfn.XLOOKUP([@N_FACTURE],tSuiviFactures[N_DE_FACTURE],tSuiviFactures[DN],""))</f>
        <v/>
      </c>
      <c r="F23">
        <f>IF([@N_FACTURE]="","",SUMIFS(tSuiviFactures[Montant],tSuiviFactures[N_DE_FACTURE],[@N_FACTURE]))</f>
        <v/>
      </c>
    </row>
    <row r="24">
      <c r="A24">
        <f>IF([@N_FACTURE]="","",ROW()-1)</f>
        <v/>
      </c>
      <c r="C24">
        <f>IF([@N_FACTURE]="","",_xlfn.XLOOKUP([@N_FACTURE],tSuiviFactures[N_DE_FACTURE],tSuiviFactures[DN],""))</f>
        <v/>
      </c>
      <c r="F24">
        <f>IF([@N_FACTURE]="","",SUMIFS(tSuiviFactures[Montant],tSuiviFactures[N_DE_FACTURE],[@N_FACTURE]))</f>
        <v/>
      </c>
    </row>
    <row r="25">
      <c r="A25">
        <f>IF([@N_FACTURE]="","",ROW()-1)</f>
        <v/>
      </c>
      <c r="C25">
        <f>IF([@N_FACTURE]="","",_xlfn.XLOOKUP([@N_FACTURE],tSuiviFactures[N_DE_FACTURE],tSuiviFactures[DN],""))</f>
        <v/>
      </c>
      <c r="F25">
        <f>IF([@N_FACTURE]="","",SUMIFS(tSuiviFactures[Montant],tSuiviFactures[N_DE_FACTURE],[@N_FACTURE]))</f>
        <v/>
      </c>
    </row>
    <row r="26">
      <c r="A26">
        <f>IF([@N_FACTURE]="","",ROW()-1)</f>
        <v/>
      </c>
      <c r="C26">
        <f>IF([@N_FACTURE]="","",_xlfn.XLOOKUP([@N_FACTURE],tSuiviFactures[N_DE_FACTURE],tSuiviFactures[DN],""))</f>
        <v/>
      </c>
      <c r="F26">
        <f>IF([@N_FACTURE]="","",SUMIFS(tSuiviFactures[Montant],tSuiviFactures[N_DE_FACTURE],[@N_FACTURE]))</f>
        <v/>
      </c>
    </row>
    <row r="27">
      <c r="A27">
        <f>IF([@N_FACTURE]="","",ROW()-1)</f>
        <v/>
      </c>
      <c r="C27">
        <f>IF([@N_FACTURE]="","",_xlfn.XLOOKUP([@N_FACTURE],tSuiviFactures[N_DE_FACTURE],tSuiviFactures[DN],""))</f>
        <v/>
      </c>
      <c r="F27">
        <f>IF([@N_FACTURE]="","",SUMIFS(tSuiviFactures[Montant],tSuiviFactures[N_DE_FACTURE],[@N_FACTURE]))</f>
        <v/>
      </c>
    </row>
    <row r="28">
      <c r="A28">
        <f>IF([@N_FACTURE]="","",ROW()-1)</f>
        <v/>
      </c>
      <c r="C28">
        <f>IF([@N_FACTURE]="","",_xlfn.XLOOKUP([@N_FACTURE],tSuiviFactures[N_DE_FACTURE],tSuiviFactures[DN],""))</f>
        <v/>
      </c>
      <c r="F28">
        <f>IF([@N_FACTURE]="","",SUMIFS(tSuiviFactures[Montant],tSuiviFactures[N_DE_FACTURE],[@N_FACTURE]))</f>
        <v/>
      </c>
    </row>
    <row r="29">
      <c r="A29">
        <f>IF([@N_FACTURE]="","",ROW()-1)</f>
        <v/>
      </c>
      <c r="C29">
        <f>IF([@N_FACTURE]="","",_xlfn.XLOOKUP([@N_FACTURE],tSuiviFactures[N_DE_FACTURE],tSuiviFactures[DN],""))</f>
        <v/>
      </c>
      <c r="F29">
        <f>IF([@N_FACTURE]="","",SUMIFS(tSuiviFactures[Montant],tSuiviFactures[N_DE_FACTURE],[@N_FACTURE]))</f>
        <v/>
      </c>
    </row>
    <row r="30">
      <c r="A30">
        <f>IF([@N_FACTURE]="","",ROW()-1)</f>
        <v/>
      </c>
      <c r="C30">
        <f>IF([@N_FACTURE]="","",_xlfn.XLOOKUP([@N_FACTURE],tSuiviFactures[N_DE_FACTURE],tSuiviFactures[DN],""))</f>
        <v/>
      </c>
      <c r="F30">
        <f>IF([@N_FACTURE]="","",SUMIFS(tSuiviFactures[Montant],tSuiviFactures[N_DE_FACTURE],[@N_FACTURE]))</f>
        <v/>
      </c>
    </row>
    <row r="31">
      <c r="A31">
        <f>IF([@N_FACTURE]="","",ROW()-1)</f>
        <v/>
      </c>
      <c r="C31">
        <f>IF([@N_FACTURE]="","",_xlfn.XLOOKUP([@N_FACTURE],tSuiviFactures[N_DE_FACTURE],tSuiviFactures[DN],""))</f>
        <v/>
      </c>
      <c r="F31">
        <f>IF([@N_FACTURE]="","",SUMIFS(tSuiviFactures[Montant],tSuiviFactures[N_DE_FACTURE],[@N_FACTURE]))</f>
        <v/>
      </c>
    </row>
  </sheetData>
  <dataValidations count="1">
    <dataValidation sqref="B2:B31" showDropDown="0" showInputMessage="0" showErrorMessage="0" allowBlank="1" type="list" errorStyle="stop">
      <formula1>=nrFactures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 ht="16" customHeight="1">
      <c r="A1" s="7" t="inlineStr">
        <is>
          <t>SSRP Ora Ora — Facture (modèle imprimable)</t>
        </is>
      </c>
    </row>
    <row r="2" ht="16" customHeight="1"/>
    <row r="3" ht="16" customHeight="1">
      <c r="A3" s="8" t="inlineStr">
        <is>
          <t>FACTURE N°</t>
        </is>
      </c>
      <c r="B3" s="9" t="inlineStr">
        <is>
          <t>F0012026</t>
        </is>
      </c>
    </row>
    <row r="4" ht="16" customHeight="1"/>
    <row r="5" ht="16" customHeight="1">
      <c r="A5" s="8" t="inlineStr">
        <is>
          <t>Nom :</t>
        </is>
      </c>
      <c r="B5" s="3">
        <f>_xlfn.XLOOKUP($B$3,tSuiviFactures[N_DE_FACTURE],tSuiviFactures[Nom],"")</f>
        <v/>
      </c>
    </row>
    <row r="6" ht="16" customHeight="1">
      <c r="A6" s="8" t="inlineStr">
        <is>
          <t>Prénom :</t>
        </is>
      </c>
      <c r="B6" s="3">
        <f>_xlfn.XLOOKUP($B$3,tSuiviFactures[N_DE_FACTURE],tSuiviFactures[Prenom],"")</f>
        <v/>
      </c>
    </row>
    <row r="7" ht="16" customHeight="1">
      <c r="A7" s="8" t="inlineStr">
        <is>
          <t>Né(e) le :</t>
        </is>
      </c>
      <c r="B7" s="2">
        <f>_xlfn.XLOOKUP($B$3,tSuiviFactures[N_DE_FACTURE],tSuiviFactures[Date_naissance],"")</f>
        <v/>
      </c>
    </row>
    <row r="8" ht="16" customHeight="1">
      <c r="A8" s="8" t="inlineStr">
        <is>
          <t>Adresse :</t>
        </is>
      </c>
      <c r="B8" s="3">
        <f>_xlfn.XLOOKUP($B$3,tSuiviFactures[N_DE_FACTURE],tSuiviFactures[Adresse],"")</f>
        <v/>
      </c>
    </row>
    <row r="9" ht="16" customHeight="1">
      <c r="A9" s="8" t="inlineStr">
        <is>
          <t>Commune :</t>
        </is>
      </c>
      <c r="B9" s="3">
        <f>_xlfn.XLOOKUP($B$3,tSuiviFactures[N_DE_FACTURE],tSuiviFactures[Commune],"")</f>
        <v/>
      </c>
    </row>
    <row r="10" ht="16" customHeight="1">
      <c r="A10" s="8" t="inlineStr">
        <is>
          <t>Téléphone :</t>
        </is>
      </c>
      <c r="B10" s="3">
        <f>_xlfn.XLOOKUP($B$3,tSuiviFactures[N_DE_FACTURE],tSuiviFactures[Telephone],"")</f>
        <v/>
      </c>
    </row>
    <row r="11" ht="16" customHeight="1">
      <c r="A11" s="8" t="inlineStr">
        <is>
          <t>ORGANISME PAYEUR :</t>
        </is>
      </c>
      <c r="B11" s="3">
        <f>_xlfn.XLOOKUP($B$3,tSuiviFactures[N_DE_FACTURE],tSuiviFactures[Type_de_facture],"")</f>
        <v/>
      </c>
    </row>
    <row r="12" ht="16" customHeight="1">
      <c r="A12" s="8" t="inlineStr">
        <is>
          <t>Date de facture :</t>
        </is>
      </c>
      <c r="B12" s="2">
        <f>_xlfn.XLOOKUP($B$3,tSuiviFactures[N_DE_FACTURE],tSuiviFactures[Date_facture],"")</f>
        <v/>
      </c>
    </row>
    <row r="13" ht="16" customHeight="1"/>
    <row r="14" ht="16" customHeight="1">
      <c r="A14" s="8" t="inlineStr">
        <is>
          <t>Cotation :</t>
        </is>
      </c>
      <c r="B14" s="3">
        <f>_xlfn.XLOOKUP($B$3,tSuiviFactures[N_DE_FACTURE],tSuiviFactures[Cotation],"")</f>
        <v/>
      </c>
    </row>
    <row r="15" ht="16" customHeight="1">
      <c r="A15" s="8" t="inlineStr">
        <is>
          <t>DA :</t>
        </is>
      </c>
      <c r="B15" s="10">
        <f>_xlfn.XLOOKUP($B$3,tSuiviFactures[N_DE_FACTURE],tSuiviFactures[DA],"")</f>
        <v/>
      </c>
    </row>
    <row r="16" ht="16" customHeight="1">
      <c r="A16" s="8" t="inlineStr">
        <is>
          <t>Nb jours accordés :</t>
        </is>
      </c>
      <c r="B16" s="3">
        <f>_xlfn.XLOOKUP(B15,tDA[N_DA],tDA[Nb_Je_Accorde],0)</f>
        <v/>
      </c>
    </row>
    <row r="17" ht="16" customHeight="1">
      <c r="A17" s="8" t="inlineStr">
        <is>
          <t>Prestation :</t>
        </is>
      </c>
      <c r="B17" s="3">
        <f>_xlfn.XLOOKUP(B14,tTarif[Code_PEC],tTarif[Prestation],"")</f>
        <v/>
      </c>
    </row>
    <row r="18" ht="16" customHeight="1">
      <c r="A18" s="8" t="inlineStr">
        <is>
          <t>Tarif unitaire (1re ligne) :</t>
        </is>
      </c>
      <c r="B18" s="11">
        <f>_xlfn.XLOOKUP(B14,tTarif[Code_PEC],tTarif[Tarif_XPF],0)</f>
        <v/>
      </c>
    </row>
    <row r="19" ht="16" customHeight="1">
      <c r="A19" s="8" t="inlineStr">
        <is>
          <t>Nb de journées (total facture) :</t>
        </is>
      </c>
      <c r="B19" s="12">
        <f>SUMIFS(tSuiviFactures[Nb_journees],tSuiviFactures[N_DE_FACTURE],$B$3)</f>
        <v/>
      </c>
    </row>
    <row r="20" ht="16" customHeight="1"/>
    <row r="21" ht="16" customHeight="1">
      <c r="A21" s="8" t="inlineStr">
        <is>
          <t>TOTAL :</t>
        </is>
      </c>
      <c r="B21" s="13">
        <f>IF($B$3="","",SUMIFS(tSuiviFactures[Montant],tSuiviFactures[N_DE_FACTURE],$B$3))</f>
        <v/>
      </c>
    </row>
    <row r="22" ht="16" customHeight="1">
      <c r="A22" s="8" t="inlineStr">
        <is>
          <t>Montant en lettres :</t>
        </is>
      </c>
      <c r="B22" s="3">
        <f>IF(B21="","",MontantEnLettres(B21)&amp;" FRANCS CFP")</f>
        <v/>
      </c>
    </row>
    <row r="23" ht="16" customHeight="1"/>
    <row r="24" ht="16" customHeight="1">
      <c r="A24" s="6" t="inlineStr">
        <is>
          <t>[à affiner en QA] Le montant en lettres utilise la LAMBDA 'MontantEnLettres' (defined name). Bornée 0–999 999 999 XPF, sans décimales (XPF entier). Le montant NUMÉRIQUE (B21) reste la valeur de référence de la facture.</t>
        </is>
      </c>
    </row>
    <row r="25" ht="16" customHeight="1">
      <c r="A25" s="6" t="inlineStr">
        <is>
          <t>Canal de transmission CPS NON tranché (CLAUDE.md §7) : ce modèle = bordereau/facture interne validé, pas le format CPS final.</t>
        </is>
      </c>
    </row>
  </sheetData>
  <dataValidations count="1">
    <dataValidation sqref="B3" showDropDown="0" showInputMessage="0" showErrorMessage="0" allowBlank="1" type="list" errorStyle="stop">
      <formula1>=nrFactures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>
      <c r="A1" s="7" t="inlineStr">
        <is>
          <t>Cockpit — pilotage (réel + prévisionnel)</t>
        </is>
      </c>
    </row>
    <row r="3">
      <c r="A3" s="6" t="inlineStr">
        <is>
          <t>Zone réservée aux Tableaux Croisés Dynamiques (TCD) — à poser manuellement sur CONSO_Presences et DA (Phase QA).</t>
        </is>
      </c>
    </row>
    <row r="5">
      <c r="A5" s="14" t="inlineStr">
        <is>
          <t>Synthèse rapide (formules) :</t>
        </is>
      </c>
    </row>
    <row r="6">
      <c r="A6" s="3" t="inlineStr">
        <is>
          <t>Présences ETP (comptées présent)</t>
        </is>
      </c>
      <c r="B6" s="3">
        <f>COUNTIFS(CONSO_Presences[Parcours],"ETP",CONSO_Presences[Est_Present],TRUE)</f>
        <v/>
      </c>
    </row>
    <row r="7">
      <c r="A7" s="3" t="inlineStr">
        <is>
          <t>Présences Polyvalent (comptées présent)</t>
        </is>
      </c>
      <c r="B7" s="3">
        <f>COUNTIFS(CONSO_Presences[Parcours],"Polyvalent",CONSO_Presences[Est_Present],TRUE)</f>
        <v/>
      </c>
    </row>
    <row r="8">
      <c r="A8" s="3" t="inlineStr">
        <is>
          <t>Total présences comptées présent</t>
        </is>
      </c>
      <c r="B8" s="3">
        <f>COUNTIF(CONSO_Presences[Est_Present],TRUE)</f>
        <v/>
      </c>
    </row>
    <row r="9">
      <c r="A9" s="3" t="inlineStr">
        <is>
          <t>Nb DA enregistrées</t>
        </is>
      </c>
      <c r="B9" s="3">
        <f>COUNTA(tDA[N_DA])</f>
        <v/>
      </c>
    </row>
    <row r="10">
      <c r="A10" s="3" t="inlineStr">
        <is>
          <t>Montant total facturé (suivi)</t>
        </is>
      </c>
      <c r="B10" s="3">
        <f>SUM(tSuiviFactures[Montant])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</cols>
  <sheetData>
    <row r="1">
      <c r="A1" s="7" t="inlineStr">
        <is>
          <t>CTRL_Qualite — contrôles d'intégrité</t>
        </is>
      </c>
    </row>
    <row r="3">
      <c r="A3" s="15" t="inlineStr">
        <is>
          <t>Indicateur</t>
        </is>
      </c>
      <c r="B3" s="15" t="inlineStr">
        <is>
          <t>Valeur</t>
        </is>
      </c>
      <c r="C3" s="15" t="inlineStr">
        <is>
          <t>Seuil OK</t>
        </is>
      </c>
    </row>
    <row r="4">
      <c r="A4" s="3" t="inlineStr">
        <is>
          <t>Présences HORS LISTE</t>
        </is>
      </c>
      <c r="B4" s="3">
        <f>COUNTIF(tPresences[Statut_Resolution],"HORS LISTE")</f>
        <v/>
      </c>
      <c r="C4" s="3">
        <f> 0</f>
        <v/>
      </c>
    </row>
    <row r="5">
      <c r="A5" s="3" t="inlineStr">
        <is>
          <t>Présences SANS DA</t>
        </is>
      </c>
      <c r="B5" s="3">
        <f>COUNTIF(tPresences[Statut_Resolution],"SANS DA")</f>
        <v/>
      </c>
      <c r="C5" s="3">
        <f> 0</f>
        <v/>
      </c>
    </row>
    <row r="6">
      <c r="A6" s="3" t="inlineStr">
        <is>
          <t>Présences MULTI DA</t>
        </is>
      </c>
      <c r="B6" s="3">
        <f>COUNTIF(tPresences[Statut_Resolution],"MULTI DA")</f>
        <v/>
      </c>
      <c r="C6" s="3">
        <f> 0</f>
        <v/>
      </c>
    </row>
    <row r="7">
      <c r="A7" s="3" t="inlineStr">
        <is>
          <t>Doublons clé (N° DA + Date)</t>
        </is>
      </c>
      <c r="B7" s="3">
        <f>COUNTIF(tPresences[Doublon_Cle],"DOUBLON")</f>
        <v/>
      </c>
      <c r="C7" s="3">
        <f> 0</f>
        <v/>
      </c>
    </row>
    <row r="8">
      <c r="A8" s="3" t="inlineStr">
        <is>
          <t>Doublons N° DA (registre DA)</t>
        </is>
      </c>
      <c r="B8" s="3">
        <f>COUNTIF(tDA[Doublon_N_DA],"DOUBLON")</f>
        <v/>
      </c>
      <c r="C8" s="3">
        <f> 0</f>
        <v/>
      </c>
    </row>
    <row r="9">
      <c r="A9" s="3" t="inlineStr">
        <is>
          <t>Tarifs inconnus (suivi)</t>
        </is>
      </c>
      <c r="B9" s="3">
        <f>COUNTIF(tSuiviFactures[Tarif_unitaire],"⚠ tarif inconnu")</f>
        <v/>
      </c>
      <c r="C9" s="3">
        <f> 0</f>
        <v/>
      </c>
    </row>
    <row r="10">
      <c r="A10" s="3" t="inlineStr">
        <is>
          <t>Factures avec catégorie de refus</t>
        </is>
      </c>
      <c r="B10" s="3">
        <f>COUNTIF(tSuiviFactures[Categorie_Refus],"&lt;&gt;")</f>
        <v/>
      </c>
      <c r="C10" s="3" t="inlineStr">
        <is>
          <t>info</t>
        </is>
      </c>
    </row>
    <row r="11">
      <c r="A11" s="3" t="inlineStr">
        <is>
          <t>Lignes suivi éligibles</t>
        </is>
      </c>
      <c r="B11" s="3">
        <f>COUNTIF(tSuiviFactures[Eligible],TRUE)</f>
        <v/>
      </c>
      <c r="C11" s="3" t="inlineStr">
        <is>
          <t>info</t>
        </is>
      </c>
    </row>
    <row r="12">
      <c r="A12" s="3" t="inlineStr">
        <is>
          <t>Cohérence : Σ Bordereaux − Σ Suivi</t>
        </is>
      </c>
      <c r="B12" s="3">
        <f>SUM(tBordereaux[Montant])-SUM(tSuiviFactures[Montant])</f>
        <v/>
      </c>
      <c r="C12" s="3">
        <f> 0</f>
        <v/>
      </c>
    </row>
    <row r="13">
      <c r="A13" s="3" t="inlineStr">
        <is>
          <t>Total lignes de saisie</t>
        </is>
      </c>
      <c r="B13" s="3">
        <f>COUNTA(tPresences[Patient])</f>
        <v/>
      </c>
      <c r="C13" s="3" t="inlineStr">
        <is>
          <t>info</t>
        </is>
      </c>
    </row>
  </sheetData>
  <conditionalFormatting sqref="B4:B9">
    <cfRule type="expression" priority="1" dxfId="0">
      <formula>B4&gt;0</formula>
    </cfRule>
  </conditionalFormatting>
  <conditionalFormatting sqref="B12">
    <cfRule type="expression" priority="2" dxfId="0">
      <formula>B12&lt;&gt;0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2026-06-22T01:48:38Z</dcterms:created>
  <dcterms:modified xsi:type="dcterms:W3CDTF">2026-06-22T01:48:39Z</dcterms:modified>
</cp:coreProperties>
</file>